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hidePivotFieldList="1" defaultThemeVersion="124226"/>
  <mc:AlternateContent xmlns:mc="http://schemas.openxmlformats.org/markup-compatibility/2006">
    <mc:Choice Requires="x15">
      <x15ac:absPath xmlns:x15ac="http://schemas.microsoft.com/office/spreadsheetml/2010/11/ac" url="C:\Users\Sanket\Downloads\Excel_Inventory_Analytics\"/>
    </mc:Choice>
  </mc:AlternateContent>
  <xr:revisionPtr revIDLastSave="0" documentId="8_{27DCB14E-6711-4B5D-B4A1-5D23386F027A}" xr6:coauthVersionLast="47" xr6:coauthVersionMax="47" xr10:uidLastSave="{00000000-0000-0000-0000-000000000000}"/>
  <bookViews>
    <workbookView xWindow="-108" yWindow="-108" windowWidth="23256" windowHeight="12456" activeTab="3" xr2:uid="{00000000-000D-0000-FFFF-FFFF00000000}"/>
  </bookViews>
  <sheets>
    <sheet name="Data" sheetId="1" r:id="rId1"/>
    <sheet name="Sheet2" sheetId="3" r:id="rId2"/>
    <sheet name="Sheet3" sheetId="4" r:id="rId3"/>
    <sheet name="Inventory Analytics Dashboard" sheetId="5" r:id="rId4"/>
  </sheets>
  <definedNames>
    <definedName name="_xlcn.WorksheetConnection_DataA1K1011" hidden="1">Data!$A$1:$K$101</definedName>
    <definedName name="_xlcn.WorksheetConnection_product_inventory_clean.xlsxtblInventory1" hidden="1">tblInventory[]</definedName>
    <definedName name="Slicer_Availability_Flag">#N/A</definedName>
    <definedName name="Slicer_Brand">#N/A</definedName>
    <definedName name="Slicer_Category">#N/A</definedName>
    <definedName name="Slicer_Price_Band">#N/A</definedName>
  </definedNames>
  <calcPr calcId="191029"/>
  <pivotCaches>
    <pivotCache cacheId="27" r:id="rId5"/>
    <pivotCache cacheId="10" r:id="rId6"/>
    <pivotCache cacheId="2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1:$K$101"/>
          <x15:modelTable id="tblInventory" name="tblInventory" connection="WorksheetConnection_product_inventory_clean.xlsx!tblInventor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5" l="1"/>
  <c r="I2" i="5"/>
  <c r="D2" i="5"/>
  <c r="A2" i="5"/>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BE1865-3084-43C3-9638-71D0615A66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562924E-2873-4C9F-BD3A-1598DD97557D}" name="WorksheetConnection_Data!$A$1:$K$101" type="102" refreshedVersion="8" minRefreshableVersion="5">
    <extLst>
      <ext xmlns:x15="http://schemas.microsoft.com/office/spreadsheetml/2010/11/main" uri="{DE250136-89BD-433C-8126-D09CA5730AF9}">
        <x15:connection id="Range" autoDelete="1">
          <x15:rangePr sourceName="_xlcn.WorksheetConnection_DataA1K1011"/>
        </x15:connection>
      </ext>
    </extLst>
  </connection>
  <connection id="3" xr16:uid="{8356E0DA-8A44-449C-8307-232CDC11A529}" name="WorksheetConnection_product_inventory_clean.xlsx!tblInventory" type="102" refreshedVersion="8" minRefreshableVersion="5">
    <extLst>
      <ext xmlns:x15="http://schemas.microsoft.com/office/spreadsheetml/2010/11/main" uri="{DE250136-89BD-433C-8126-D09CA5730AF9}">
        <x15:connection id="tblInventory">
          <x15:rangePr sourceName="_xlcn.WorksheetConnection_product_inventory_clean.xlsxtblInventory1"/>
        </x15:connection>
      </ext>
    </extLst>
  </connection>
</connections>
</file>

<file path=xl/sharedStrings.xml><?xml version="1.0" encoding="utf-8"?>
<sst xmlns="http://schemas.openxmlformats.org/spreadsheetml/2006/main" count="914" uniqueCount="357">
  <si>
    <t>Name</t>
  </si>
  <si>
    <t>Brand</t>
  </si>
  <si>
    <t>Category</t>
  </si>
  <si>
    <t>Price</t>
  </si>
  <si>
    <t>Currency</t>
  </si>
  <si>
    <t>Stock</t>
  </si>
  <si>
    <t>EAN</t>
  </si>
  <si>
    <t>Color</t>
  </si>
  <si>
    <t>Size</t>
  </si>
  <si>
    <t>Availability</t>
  </si>
  <si>
    <t>Price Band</t>
  </si>
  <si>
    <t>Compact Printer Air Advanced Digital</t>
  </si>
  <si>
    <t>Tablet</t>
  </si>
  <si>
    <t>Smart Blender Cooker</t>
  </si>
  <si>
    <t>Advanced Router Rechargeable</t>
  </si>
  <si>
    <t>Portable Mouse Monitor Phone</t>
  </si>
  <si>
    <t>Radio</t>
  </si>
  <si>
    <t>Ultra Projector Oven Thermostat Prime Advanced</t>
  </si>
  <si>
    <t>Webcam Stove Grill</t>
  </si>
  <si>
    <t>Eco Radio</t>
  </si>
  <si>
    <t>Ultra Powerbank Brush Charger Max</t>
  </si>
  <si>
    <t>Wireless Dock</t>
  </si>
  <si>
    <t>Fast Camera Router Fan Smart</t>
  </si>
  <si>
    <t>Heater Radio</t>
  </si>
  <si>
    <t>Smart Trimmer Webcam Heater</t>
  </si>
  <si>
    <t>Webcam Dock Heater</t>
  </si>
  <si>
    <t>Automatic Watch Lite Sense</t>
  </si>
  <si>
    <t>Eco Iron Monitor Air</t>
  </si>
  <si>
    <t>Digital Tablet Router Printer Lite</t>
  </si>
  <si>
    <t>Eco Freezer Powerbank Watch</t>
  </si>
  <si>
    <t>Cooler Fan</t>
  </si>
  <si>
    <t>Portable Camera Plus Air Ultra</t>
  </si>
  <si>
    <t>Wireless Powerbank 360 Advanced Ultra</t>
  </si>
  <si>
    <t>Rechargeable Lamp Speakerphone Headphones</t>
  </si>
  <si>
    <t>Mini Scooter Microphone</t>
  </si>
  <si>
    <t>Rechargeable Webcam Stove Grill</t>
  </si>
  <si>
    <t>Mini Iron Drone Wireless Pro</t>
  </si>
  <si>
    <t>Portable Freezer Phone Automatic Smart</t>
  </si>
  <si>
    <t>Wireless Webcam Stove Grill</t>
  </si>
  <si>
    <t>Clock Brush</t>
  </si>
  <si>
    <t>Keyboard Toaster Monitor</t>
  </si>
  <si>
    <t>Silent Printer Fan Shaver</t>
  </si>
  <si>
    <t>Wireless Scooter Clean Mini</t>
  </si>
  <si>
    <t>Advanced Microphone Cooler Eco</t>
  </si>
  <si>
    <t>Automatic Brush Fast Eco</t>
  </si>
  <si>
    <t>Premium Bicycle Microphone</t>
  </si>
  <si>
    <t>Smart Phone Scooter Clean</t>
  </si>
  <si>
    <t>Bicycle</t>
  </si>
  <si>
    <t>Ultra Dock Trimmer Automatic Edge</t>
  </si>
  <si>
    <t>Wireless Tablet Router Printer Wireless Premium Air</t>
  </si>
  <si>
    <t>Clean Printer Advanced Premium Sense</t>
  </si>
  <si>
    <t>Silent Dock Fast</t>
  </si>
  <si>
    <t>Ultra Speakerphone Oven Go Smart X</t>
  </si>
  <si>
    <t>Rechargeable Projector Pro</t>
  </si>
  <si>
    <t>Eco Vacuum</t>
  </si>
  <si>
    <t>Smart Grill Tablet Fridge Go Smart Smart</t>
  </si>
  <si>
    <t>Digital Stove Silent Pro</t>
  </si>
  <si>
    <t>Portable Powerbank X Air</t>
  </si>
  <si>
    <t>Clock</t>
  </si>
  <si>
    <t>Radio Treadmill</t>
  </si>
  <si>
    <t>Ultra Cooler Treadmill Touch Pro Ultra</t>
  </si>
  <si>
    <t>Mini Fridge Camera</t>
  </si>
  <si>
    <t>Rechargeable Tablet Plus Portable Mini</t>
  </si>
  <si>
    <t>Wireless Light Toaster Lite Touch Eco</t>
  </si>
  <si>
    <t>Scooter</t>
  </si>
  <si>
    <t>Advanced Camera Heater Webcam X Ultra Prime</t>
  </si>
  <si>
    <t>Ultra Keyboard Compact Eco</t>
  </si>
  <si>
    <t>Portable Scale Speaker Powerbank Clean</t>
  </si>
  <si>
    <t>Oven Speaker Fan</t>
  </si>
  <si>
    <t>Automatic Speaker Router Lamp Prime</t>
  </si>
  <si>
    <t>Smart Webcam Projector Lock</t>
  </si>
  <si>
    <t>Fast Fan</t>
  </si>
  <si>
    <t>Automatic Cooler Edge</t>
  </si>
  <si>
    <t>Advanced Freezer Advanced Advanced</t>
  </si>
  <si>
    <t>Silent Trimmer Shaver Fast</t>
  </si>
  <si>
    <t>Treadmill</t>
  </si>
  <si>
    <t>Mini Charger Lock Oven Sense Sense</t>
  </si>
  <si>
    <t>Thermostat Trimmer</t>
  </si>
  <si>
    <t>Clean Iron Premium Air Wireless</t>
  </si>
  <si>
    <t>Compact Mouse Mouse Router Mini</t>
  </si>
  <si>
    <t>Premium Lock Mini Advanced</t>
  </si>
  <si>
    <t>Silent Webcam Webcam Treadmill Sense Portable Advanced</t>
  </si>
  <si>
    <t>Compact Thermostat Oven</t>
  </si>
  <si>
    <t>Wireless Watch Tablet Printer Automatic Eco Sense</t>
  </si>
  <si>
    <t>Automatic Blender</t>
  </si>
  <si>
    <t>Rechargeable Webcam Dock Heater</t>
  </si>
  <si>
    <t>Clean Toaster Oven Air Touch</t>
  </si>
  <si>
    <t>Brush</t>
  </si>
  <si>
    <t>Portable Kettle</t>
  </si>
  <si>
    <t>Rechargeable Brush Compact</t>
  </si>
  <si>
    <t>Fast Heater Cooker Compact Silent</t>
  </si>
  <si>
    <t>Mini Drone X Portable</t>
  </si>
  <si>
    <t>Heater Keyboard</t>
  </si>
  <si>
    <t>Wireless Fan Thermostat Max Automatic Max</t>
  </si>
  <si>
    <t>Fast Keyboard</t>
  </si>
  <si>
    <t>Ultra Mixer Toaster Toaster Smart</t>
  </si>
  <si>
    <t>Silent Speakerphone Scanner Monitor</t>
  </si>
  <si>
    <t>Silent Scanner Monitor Treadmill</t>
  </si>
  <si>
    <t>Fast Vacuum Cooler</t>
  </si>
  <si>
    <t>Digital Trimmer</t>
  </si>
  <si>
    <t>Automatic Trimmer Sense</t>
  </si>
  <si>
    <t>Portable Scooter Wireless Digital</t>
  </si>
  <si>
    <t>Fridge Cooker</t>
  </si>
  <si>
    <t>Scanner</t>
  </si>
  <si>
    <t>Ultra Radio Radio</t>
  </si>
  <si>
    <t>Router</t>
  </si>
  <si>
    <t>Fast Thermostat Microphone Scooter</t>
  </si>
  <si>
    <t>Eco Heater Toaster Stove Silent Sense</t>
  </si>
  <si>
    <t>Clean Blender Scale Lite</t>
  </si>
  <si>
    <t>Smart Lamp</t>
  </si>
  <si>
    <t>Garner, Boyle and Flynn</t>
  </si>
  <si>
    <t>Mueller Inc</t>
  </si>
  <si>
    <t>Lawson, Keller and Winters</t>
  </si>
  <si>
    <t>Gallagher and Sons</t>
  </si>
  <si>
    <t>Irwin LLC</t>
  </si>
  <si>
    <t>Benjamin, Nelson and Hancock</t>
  </si>
  <si>
    <t>Mccoy, Waters and Rose</t>
  </si>
  <si>
    <t>Morrow and Sons</t>
  </si>
  <si>
    <t>Edwards, Odonnell and Conley</t>
  </si>
  <si>
    <t>Brennan, Archer and Rosales</t>
  </si>
  <si>
    <t>Russo-West</t>
  </si>
  <si>
    <t>Vazquez and Sons</t>
  </si>
  <si>
    <t>Delgado-Blackwell</t>
  </si>
  <si>
    <t>Contreras PLC</t>
  </si>
  <si>
    <t>Juarez, Powell and Travis</t>
  </si>
  <si>
    <t>Reid, Chase and Ballard</t>
  </si>
  <si>
    <t>Barker-Murphy</t>
  </si>
  <si>
    <t>Vazquez-Smith</t>
  </si>
  <si>
    <t>Pruitt, Higgins and Barnett</t>
  </si>
  <si>
    <t>Bray LLC</t>
  </si>
  <si>
    <t>Wang-Valenzuela</t>
  </si>
  <si>
    <t>Carney Ltd</t>
  </si>
  <si>
    <t>Gallegos, Osborne and Carpenter</t>
  </si>
  <si>
    <t>Douglas, Thornton and Soto</t>
  </si>
  <si>
    <t>Horn-Pope</t>
  </si>
  <si>
    <t>Khan-Parrish</t>
  </si>
  <si>
    <t>Burton PLC</t>
  </si>
  <si>
    <t>Henry Group</t>
  </si>
  <si>
    <t>Larson-Spence</t>
  </si>
  <si>
    <t>Bonilla-Spears</t>
  </si>
  <si>
    <t>Love LLC</t>
  </si>
  <si>
    <t>Terry-Oliver</t>
  </si>
  <si>
    <t>Morales, Weaver and Fernandez</t>
  </si>
  <si>
    <t>Newman Ltd</t>
  </si>
  <si>
    <t>Novak, Archer and Walton</t>
  </si>
  <si>
    <t>Marshall-Dougherty</t>
  </si>
  <si>
    <t>Hays-Cunningham</t>
  </si>
  <si>
    <t>Barnes-Glass</t>
  </si>
  <si>
    <t>Meyers-Hess</t>
  </si>
  <si>
    <t>Williamson PLC</t>
  </si>
  <si>
    <t>May, Hendrix and Robbins</t>
  </si>
  <si>
    <t>Zimmerman, Barr and Davis</t>
  </si>
  <si>
    <t>Levine, Martin and Mccann</t>
  </si>
  <si>
    <t>Werner PLC</t>
  </si>
  <si>
    <t>Huff, Cameron and Stephenson</t>
  </si>
  <si>
    <t>Suarez, Riddle and Sanders</t>
  </si>
  <si>
    <t>Hanson-Schultz</t>
  </si>
  <si>
    <t>Malone, Jacobson and Hudson</t>
  </si>
  <si>
    <t>Barron-Little</t>
  </si>
  <si>
    <t>Bonilla-Oconnell</t>
  </si>
  <si>
    <t>Decker and Sons</t>
  </si>
  <si>
    <t>Mooney-Gonzales</t>
  </si>
  <si>
    <t>Blake, Weiss and Montgomery</t>
  </si>
  <si>
    <t>Singleton PLC</t>
  </si>
  <si>
    <t>Rivas Group</t>
  </si>
  <si>
    <t>Cervantes Ltd</t>
  </si>
  <si>
    <t>Pace-Hodges</t>
  </si>
  <si>
    <t>Morris LLC</t>
  </si>
  <si>
    <t>Schwartz Ltd</t>
  </si>
  <si>
    <t>Sexton, Dickerson and Blair</t>
  </si>
  <si>
    <t>Stokes Inc</t>
  </si>
  <si>
    <t>Ali-Oliver</t>
  </si>
  <si>
    <t>Odonnell, Boyle and Oconnor</t>
  </si>
  <si>
    <t>Gill LLC</t>
  </si>
  <si>
    <t>Munoz Group</t>
  </si>
  <si>
    <t>Frost, Christensen and Burnett</t>
  </si>
  <si>
    <t>Burton, Gross and Giles</t>
  </si>
  <si>
    <t>Hester, Love and Lynch</t>
  </si>
  <si>
    <t>Shepherd, Greene and House</t>
  </si>
  <si>
    <t>Barry PLC</t>
  </si>
  <si>
    <t>Elliott, Mcfarland and Duran</t>
  </si>
  <si>
    <t>George-Day</t>
  </si>
  <si>
    <t>Hull Inc</t>
  </si>
  <si>
    <t>Fleming Inc</t>
  </si>
  <si>
    <t>Mahoney-Bryan</t>
  </si>
  <si>
    <t>Kennedy-Gordon</t>
  </si>
  <si>
    <t>Olsen-Sawyer</t>
  </si>
  <si>
    <t>Lowe, Mosley and Rivera</t>
  </si>
  <si>
    <t>Sampson-Leon</t>
  </si>
  <si>
    <t>Castro-Mccarty</t>
  </si>
  <si>
    <t>Decker, Montes and Logan</t>
  </si>
  <si>
    <t>Whitney Group</t>
  </si>
  <si>
    <t>Brooks and Sons</t>
  </si>
  <si>
    <t>Kaiser-Banks</t>
  </si>
  <si>
    <t>Lewis Ltd</t>
  </si>
  <si>
    <t>Galloway and Sons</t>
  </si>
  <si>
    <t>Cowan Inc</t>
  </si>
  <si>
    <t>Nichols, Howe and Miller</t>
  </si>
  <si>
    <t>Blair-Russell</t>
  </si>
  <si>
    <t>Christian-Tanner</t>
  </si>
  <si>
    <t>Harrington-Valentine</t>
  </si>
  <si>
    <t>Bauer Inc</t>
  </si>
  <si>
    <t>Jackson Group</t>
  </si>
  <si>
    <t>Wang, Ayala and Bowen</t>
  </si>
  <si>
    <t>Maldonado-Ritter</t>
  </si>
  <si>
    <t>Atkinson Inc</t>
  </si>
  <si>
    <t>Shea Ltd</t>
  </si>
  <si>
    <t>West Ltd</t>
  </si>
  <si>
    <t>Bell, Gamble and Barrett</t>
  </si>
  <si>
    <t>Hebert, Hughes and Trujillo</t>
  </si>
  <si>
    <t>Books &amp; Stationery</t>
  </si>
  <si>
    <t>Shoes &amp; Footwear</t>
  </si>
  <si>
    <t>Kitchen Appliances</t>
  </si>
  <si>
    <t>Kids' Clothing</t>
  </si>
  <si>
    <t>Skincare</t>
  </si>
  <si>
    <t>Laptops &amp; Computers</t>
  </si>
  <si>
    <t>Automotive</t>
  </si>
  <si>
    <t>Fitness Equipment</t>
  </si>
  <si>
    <t>Health &amp; Wellness</t>
  </si>
  <si>
    <t>Cleaning Supplies</t>
  </si>
  <si>
    <t>Cycling</t>
  </si>
  <si>
    <t>Team Sports</t>
  </si>
  <si>
    <t>Smartphones</t>
  </si>
  <si>
    <t>Women's Clothing</t>
  </si>
  <si>
    <t>Bedding &amp; Bath</t>
  </si>
  <si>
    <t>Grooming Tools</t>
  </si>
  <si>
    <t>Clothing &amp; Apparel</t>
  </si>
  <si>
    <t>Furniture</t>
  </si>
  <si>
    <t>Sports &amp; Outdoors</t>
  </si>
  <si>
    <t>Fragrances</t>
  </si>
  <si>
    <t>Haircare</t>
  </si>
  <si>
    <t>Fishing &amp; Hunting</t>
  </si>
  <si>
    <t>Office Supplies</t>
  </si>
  <si>
    <t>Home Decor</t>
  </si>
  <si>
    <t>Camping &amp; Hiking</t>
  </si>
  <si>
    <t>Beauty &amp; Personal Care</t>
  </si>
  <si>
    <t>Cameras &amp; Accessories</t>
  </si>
  <si>
    <t>Men's Clothing</t>
  </si>
  <si>
    <t>Accessories (Bags, Hats, Belts)</t>
  </si>
  <si>
    <t>Smartwatches</t>
  </si>
  <si>
    <t>Makeup</t>
  </si>
  <si>
    <t>Home &amp; Kitchen</t>
  </si>
  <si>
    <t>USD</t>
  </si>
  <si>
    <t>ForestGreen</t>
  </si>
  <si>
    <t>Black</t>
  </si>
  <si>
    <t>SlateGray</t>
  </si>
  <si>
    <t>PaleGreen</t>
  </si>
  <si>
    <t>SeaShell</t>
  </si>
  <si>
    <t>CornflowerBlue</t>
  </si>
  <si>
    <t>Purple</t>
  </si>
  <si>
    <t>MediumOrchid</t>
  </si>
  <si>
    <t>DimGray</t>
  </si>
  <si>
    <t>Silver</t>
  </si>
  <si>
    <t>Wheat</t>
  </si>
  <si>
    <t>MidnightBlue</t>
  </si>
  <si>
    <t>Orange</t>
  </si>
  <si>
    <t>Gainsboro</t>
  </si>
  <si>
    <t>Sienna</t>
  </si>
  <si>
    <t>Tan</t>
  </si>
  <si>
    <t>OliveDrab</t>
  </si>
  <si>
    <t>LemonChiffon</t>
  </si>
  <si>
    <t>Cyan</t>
  </si>
  <si>
    <t>Bisque</t>
  </si>
  <si>
    <t>Magenta</t>
  </si>
  <si>
    <t>Beige</t>
  </si>
  <si>
    <t>DarkBlue</t>
  </si>
  <si>
    <t>CadetBlue</t>
  </si>
  <si>
    <t>Snow</t>
  </si>
  <si>
    <t>LightSalmon</t>
  </si>
  <si>
    <t>SaddleBrown</t>
  </si>
  <si>
    <t>DarkSlateGray</t>
  </si>
  <si>
    <t>MediumSpringGreen</t>
  </si>
  <si>
    <t>MintCream</t>
  </si>
  <si>
    <t>LightCyan</t>
  </si>
  <si>
    <t>SeaGreen</t>
  </si>
  <si>
    <t>AliceBlue</t>
  </si>
  <si>
    <t>MediumVioletRed</t>
  </si>
  <si>
    <t>White</t>
  </si>
  <si>
    <t>LightBlue</t>
  </si>
  <si>
    <t>BlanchedAlmond</t>
  </si>
  <si>
    <t>Moccasin</t>
  </si>
  <si>
    <t>SlateBlue</t>
  </si>
  <si>
    <t>LightCoral</t>
  </si>
  <si>
    <t>Cornsilk</t>
  </si>
  <si>
    <t>OrangeRed</t>
  </si>
  <si>
    <t>FloralWhite</t>
  </si>
  <si>
    <t>Violet</t>
  </si>
  <si>
    <t>NavajoWhite</t>
  </si>
  <si>
    <t>PaleGoldenRod</t>
  </si>
  <si>
    <t>Chocolate</t>
  </si>
  <si>
    <t>Fuchsia</t>
  </si>
  <si>
    <t>DarkOrchid</t>
  </si>
  <si>
    <t>Peru</t>
  </si>
  <si>
    <t>LightGray</t>
  </si>
  <si>
    <t>PowderBlue</t>
  </si>
  <si>
    <t>GoldenRod</t>
  </si>
  <si>
    <t>FireBrick</t>
  </si>
  <si>
    <t>SteelBlue</t>
  </si>
  <si>
    <t>LimeGreen</t>
  </si>
  <si>
    <t>Tomato</t>
  </si>
  <si>
    <t>Olive</t>
  </si>
  <si>
    <t>GhostWhite</t>
  </si>
  <si>
    <t>PapayaWhip</t>
  </si>
  <si>
    <t>Plum</t>
  </si>
  <si>
    <t>Aqua</t>
  </si>
  <si>
    <t>LightGoldenRodYellow</t>
  </si>
  <si>
    <t>Brown</t>
  </si>
  <si>
    <t>RoyalBlue</t>
  </si>
  <si>
    <t>MediumAquaMarine</t>
  </si>
  <si>
    <t>Orchid</t>
  </si>
  <si>
    <t>BlueViolet</t>
  </si>
  <si>
    <t>Navy</t>
  </si>
  <si>
    <t>DeepSkyBlue</t>
  </si>
  <si>
    <t>Aquamarine</t>
  </si>
  <si>
    <t>OldLace</t>
  </si>
  <si>
    <t>Large</t>
  </si>
  <si>
    <t>8x10 in</t>
  </si>
  <si>
    <t>XS</t>
  </si>
  <si>
    <t>L</t>
  </si>
  <si>
    <t>100x200 mm</t>
  </si>
  <si>
    <t>30x40 cm</t>
  </si>
  <si>
    <t>S</t>
  </si>
  <si>
    <t>Medium</t>
  </si>
  <si>
    <t>Extra Large</t>
  </si>
  <si>
    <t>XXL</t>
  </si>
  <si>
    <t>5x7 in</t>
  </si>
  <si>
    <t>XL</t>
  </si>
  <si>
    <t>10x10 cm</t>
  </si>
  <si>
    <t>M</t>
  </si>
  <si>
    <t>50x70 cm</t>
  </si>
  <si>
    <t>Small</t>
  </si>
  <si>
    <t>12x18 in</t>
  </si>
  <si>
    <t>Pre-Order</t>
  </si>
  <si>
    <t>In Stock</t>
  </si>
  <si>
    <t>Discontinued</t>
  </si>
  <si>
    <t>limited_stock</t>
  </si>
  <si>
    <t>out_of_stock</t>
  </si>
  <si>
    <t>backorder</t>
  </si>
  <si>
    <t>High</t>
  </si>
  <si>
    <t>Low</t>
  </si>
  <si>
    <t>Stock Value</t>
  </si>
  <si>
    <t>Availability Flag</t>
  </si>
  <si>
    <t>Price Band Numeric</t>
  </si>
  <si>
    <t>Row Labels</t>
  </si>
  <si>
    <t>Grand Total</t>
  </si>
  <si>
    <t>Count of Name</t>
  </si>
  <si>
    <t>Product Count</t>
  </si>
  <si>
    <t>Total Stock</t>
  </si>
  <si>
    <t>Total Inventory Value</t>
  </si>
  <si>
    <t>Available</t>
  </si>
  <si>
    <t>Inactive</t>
  </si>
  <si>
    <t>Upcoming</t>
  </si>
  <si>
    <t>Column Labels</t>
  </si>
  <si>
    <t>Low Stock Flag</t>
  </si>
  <si>
    <t>Total Products</t>
  </si>
  <si>
    <t>Low Stock Product</t>
  </si>
  <si>
    <t>% Discounted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</si>
</sst>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8"/>
      <color theme="3"/>
      <name val="Cambria"/>
      <family val="2"/>
      <scheme val="major"/>
    </font>
    <font>
      <b/>
      <sz val="20"/>
      <color theme="1"/>
      <name val="Calibri"/>
      <family val="2"/>
      <scheme val="minor"/>
    </font>
    <font>
      <sz val="20"/>
      <color theme="3"/>
      <name val="Cambria"/>
      <family val="2"/>
      <scheme val="maj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3" fillId="2" borderId="2" xfId="0" applyFont="1" applyFill="1" applyBorder="1" applyAlignment="1">
      <alignment horizontal="center"/>
    </xf>
    <xf numFmtId="0" fontId="3" fillId="2" borderId="2" xfId="0" applyFont="1" applyFill="1" applyBorder="1" applyAlignment="1">
      <alignment horizontal="center" vertical="center"/>
    </xf>
    <xf numFmtId="0" fontId="2" fillId="0" borderId="2" xfId="1" applyBorder="1"/>
    <xf numFmtId="0" fontId="4" fillId="0" borderId="2" xfId="1" applyFont="1" applyBorder="1"/>
    <xf numFmtId="0" fontId="3" fillId="2" borderId="3" xfId="0" applyFont="1" applyFill="1" applyBorder="1"/>
    <xf numFmtId="0" fontId="3" fillId="2" borderId="4" xfId="0" applyFont="1" applyFill="1" applyBorder="1"/>
    <xf numFmtId="0" fontId="2" fillId="0" borderId="5" xfId="1" applyBorder="1" applyAlignment="1">
      <alignment horizontal="center"/>
    </xf>
    <xf numFmtId="0" fontId="2" fillId="0" borderId="6" xfId="1" applyBorder="1" applyAlignment="1">
      <alignment horizontal="center"/>
    </xf>
    <xf numFmtId="0" fontId="2" fillId="0" borderId="7" xfId="1" applyFill="1" applyBorder="1" applyAlignment="1">
      <alignment horizontal="center"/>
    </xf>
    <xf numFmtId="0" fontId="2" fillId="0" borderId="0" xfId="1" applyFill="1" applyBorder="1" applyAlignment="1">
      <alignment horizontal="center"/>
    </xf>
    <xf numFmtId="0" fontId="3" fillId="2" borderId="7" xfId="0" applyFont="1" applyFill="1" applyBorder="1" applyAlignment="1">
      <alignment horizontal="center"/>
    </xf>
    <xf numFmtId="0" fontId="3" fillId="2" borderId="0" xfId="0" applyFont="1" applyFill="1" applyBorder="1" applyAlignment="1">
      <alignment horizontal="center"/>
    </xf>
  </cellXfs>
  <cellStyles count="2">
    <cellStyle name="Normal" xfId="0" builtinId="0"/>
    <cellStyle name="Title" xfId="1" builtinId="15"/>
  </cellStyles>
  <dxfs count="7">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[Excel_Inventory_Analytics.xlsx]Sheet2!PivotTable1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a:t>
            </a:r>
            <a:r>
              <a:rPr lang="en-US" baseline="0"/>
              <a:t> Value By Category</a:t>
            </a:r>
          </a:p>
        </c:rich>
      </c:tx>
      <c:layout>
        <c:manualLayout>
          <c:xMode val="edge"/>
          <c:yMode val="edge"/>
          <c:x val="0.269888888888888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Sheet2!$A$4:$A$36</c:f>
              <c:strCache>
                <c:ptCount val="32"/>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strCache>
            </c:strRef>
          </c:cat>
          <c:val>
            <c:numRef>
              <c:f>Sheet2!$B$4:$B$36</c:f>
              <c:numCache>
                <c:formatCode>General</c:formatCode>
                <c:ptCount val="32"/>
                <c:pt idx="0">
                  <c:v>139462</c:v>
                </c:pt>
                <c:pt idx="1">
                  <c:v>880948</c:v>
                </c:pt>
                <c:pt idx="2">
                  <c:v>854991</c:v>
                </c:pt>
                <c:pt idx="3">
                  <c:v>1144000</c:v>
                </c:pt>
                <c:pt idx="4">
                  <c:v>821837</c:v>
                </c:pt>
                <c:pt idx="5">
                  <c:v>479275</c:v>
                </c:pt>
                <c:pt idx="6">
                  <c:v>261748</c:v>
                </c:pt>
                <c:pt idx="7">
                  <c:v>1425491</c:v>
                </c:pt>
                <c:pt idx="8">
                  <c:v>782496</c:v>
                </c:pt>
                <c:pt idx="9">
                  <c:v>952757</c:v>
                </c:pt>
                <c:pt idx="10">
                  <c:v>80200</c:v>
                </c:pt>
                <c:pt idx="11">
                  <c:v>1594452</c:v>
                </c:pt>
                <c:pt idx="12">
                  <c:v>1002545</c:v>
                </c:pt>
                <c:pt idx="13">
                  <c:v>373407</c:v>
                </c:pt>
                <c:pt idx="14">
                  <c:v>814047</c:v>
                </c:pt>
                <c:pt idx="15">
                  <c:v>1460008</c:v>
                </c:pt>
                <c:pt idx="16">
                  <c:v>857113</c:v>
                </c:pt>
                <c:pt idx="17">
                  <c:v>532345</c:v>
                </c:pt>
                <c:pt idx="18">
                  <c:v>327365</c:v>
                </c:pt>
                <c:pt idx="19">
                  <c:v>1211123</c:v>
                </c:pt>
                <c:pt idx="20">
                  <c:v>657968</c:v>
                </c:pt>
                <c:pt idx="21">
                  <c:v>586793</c:v>
                </c:pt>
                <c:pt idx="22">
                  <c:v>103173</c:v>
                </c:pt>
                <c:pt idx="23">
                  <c:v>634967</c:v>
                </c:pt>
                <c:pt idx="24">
                  <c:v>1433073</c:v>
                </c:pt>
                <c:pt idx="25">
                  <c:v>215382</c:v>
                </c:pt>
                <c:pt idx="26">
                  <c:v>843548</c:v>
                </c:pt>
                <c:pt idx="27">
                  <c:v>1133480</c:v>
                </c:pt>
                <c:pt idx="28">
                  <c:v>11206</c:v>
                </c:pt>
                <c:pt idx="29">
                  <c:v>906085</c:v>
                </c:pt>
                <c:pt idx="30">
                  <c:v>589348</c:v>
                </c:pt>
                <c:pt idx="31">
                  <c:v>1341950</c:v>
                </c:pt>
              </c:numCache>
            </c:numRef>
          </c:val>
          <c:extLst>
            <c:ext xmlns:c16="http://schemas.microsoft.com/office/drawing/2014/chart" uri="{C3380CC4-5D6E-409C-BE32-E72D297353CC}">
              <c16:uniqueId val="{00000000-8363-42D2-A63E-E3E8A59FF0F5}"/>
            </c:ext>
          </c:extLst>
        </c:ser>
        <c:dLbls>
          <c:showLegendKey val="0"/>
          <c:showVal val="0"/>
          <c:showCatName val="0"/>
          <c:showSerName val="0"/>
          <c:showPercent val="0"/>
          <c:showBubbleSize val="0"/>
        </c:dLbls>
        <c:gapWidth val="219"/>
        <c:overlap val="-27"/>
        <c:axId val="1105486576"/>
        <c:axId val="1105488016"/>
      </c:barChart>
      <c:catAx>
        <c:axId val="110548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488016"/>
        <c:crosses val="autoZero"/>
        <c:auto val="1"/>
        <c:lblAlgn val="ctr"/>
        <c:lblOffset val="100"/>
        <c:noMultiLvlLbl val="0"/>
      </c:catAx>
      <c:valAx>
        <c:axId val="1105488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48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[Excel_Inventory_Analytics.xlsx]Sheet2!PivotTable2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Brands By Stock</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Sheet2!$E$3</c:f>
              <c:strCache>
                <c:ptCount val="1"/>
                <c:pt idx="0">
                  <c:v>Total Stock</c:v>
                </c:pt>
              </c:strCache>
            </c:strRef>
          </c:tx>
          <c:spPr>
            <a:solidFill>
              <a:schemeClr val="accent1"/>
            </a:solidFill>
            <a:ln>
              <a:noFill/>
            </a:ln>
            <a:effectLst/>
          </c:spPr>
          <c:invertIfNegative val="0"/>
          <c:cat>
            <c:strRef>
              <c:f>Sheet2!$D$4:$D$14</c:f>
              <c:strCache>
                <c:ptCount val="10"/>
                <c:pt idx="0">
                  <c:v>Blake, Weiss and Montgomery</c:v>
                </c:pt>
                <c:pt idx="1">
                  <c:v>Bonilla-Spears</c:v>
                </c:pt>
                <c:pt idx="2">
                  <c:v>Gallagher and Sons</c:v>
                </c:pt>
                <c:pt idx="3">
                  <c:v>Harrington-Valentine</c:v>
                </c:pt>
                <c:pt idx="4">
                  <c:v>Henry Group</c:v>
                </c:pt>
                <c:pt idx="5">
                  <c:v>Huff, Cameron and Stephenson</c:v>
                </c:pt>
                <c:pt idx="6">
                  <c:v>Irwin LLC</c:v>
                </c:pt>
                <c:pt idx="7">
                  <c:v>Meyers-Hess</c:v>
                </c:pt>
                <c:pt idx="8">
                  <c:v>Stokes Inc</c:v>
                </c:pt>
                <c:pt idx="9">
                  <c:v>West Ltd</c:v>
                </c:pt>
              </c:strCache>
            </c:strRef>
          </c:cat>
          <c:val>
            <c:numRef>
              <c:f>Sheet2!$E$4:$E$14</c:f>
              <c:numCache>
                <c:formatCode>General</c:formatCode>
                <c:ptCount val="10"/>
                <c:pt idx="0">
                  <c:v>922</c:v>
                </c:pt>
                <c:pt idx="1">
                  <c:v>988</c:v>
                </c:pt>
                <c:pt idx="2">
                  <c:v>896</c:v>
                </c:pt>
                <c:pt idx="3">
                  <c:v>950</c:v>
                </c:pt>
                <c:pt idx="4">
                  <c:v>912</c:v>
                </c:pt>
                <c:pt idx="5">
                  <c:v>966</c:v>
                </c:pt>
                <c:pt idx="6">
                  <c:v>925</c:v>
                </c:pt>
                <c:pt idx="7">
                  <c:v>947</c:v>
                </c:pt>
                <c:pt idx="8">
                  <c:v>973</c:v>
                </c:pt>
                <c:pt idx="9">
                  <c:v>998</c:v>
                </c:pt>
              </c:numCache>
            </c:numRef>
          </c:val>
          <c:extLst>
            <c:ext xmlns:c16="http://schemas.microsoft.com/office/drawing/2014/chart" uri="{C3380CC4-5D6E-409C-BE32-E72D297353CC}">
              <c16:uniqueId val="{00000000-8F04-4795-AAC0-BDE05FAD3794}"/>
            </c:ext>
          </c:extLst>
        </c:ser>
        <c:ser>
          <c:idx val="1"/>
          <c:order val="1"/>
          <c:tx>
            <c:strRef>
              <c:f>Sheet2!$F$3</c:f>
              <c:strCache>
                <c:ptCount val="1"/>
                <c:pt idx="0">
                  <c:v>Product Count</c:v>
                </c:pt>
              </c:strCache>
            </c:strRef>
          </c:tx>
          <c:spPr>
            <a:solidFill>
              <a:schemeClr val="accent2"/>
            </a:solidFill>
            <a:ln>
              <a:noFill/>
            </a:ln>
            <a:effectLst/>
          </c:spPr>
          <c:invertIfNegative val="0"/>
          <c:cat>
            <c:strRef>
              <c:f>Sheet2!$D$4:$D$14</c:f>
              <c:strCache>
                <c:ptCount val="10"/>
                <c:pt idx="0">
                  <c:v>Blake, Weiss and Montgomery</c:v>
                </c:pt>
                <c:pt idx="1">
                  <c:v>Bonilla-Spears</c:v>
                </c:pt>
                <c:pt idx="2">
                  <c:v>Gallagher and Sons</c:v>
                </c:pt>
                <c:pt idx="3">
                  <c:v>Harrington-Valentine</c:v>
                </c:pt>
                <c:pt idx="4">
                  <c:v>Henry Group</c:v>
                </c:pt>
                <c:pt idx="5">
                  <c:v>Huff, Cameron and Stephenson</c:v>
                </c:pt>
                <c:pt idx="6">
                  <c:v>Irwin LLC</c:v>
                </c:pt>
                <c:pt idx="7">
                  <c:v>Meyers-Hess</c:v>
                </c:pt>
                <c:pt idx="8">
                  <c:v>Stokes Inc</c:v>
                </c:pt>
                <c:pt idx="9">
                  <c:v>West Ltd</c:v>
                </c:pt>
              </c:strCache>
            </c:strRef>
          </c:cat>
          <c:val>
            <c:numRef>
              <c:f>Sheet2!$F$4:$F$14</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1-8F04-4795-AAC0-BDE05FAD3794}"/>
            </c:ext>
          </c:extLst>
        </c:ser>
        <c:dLbls>
          <c:showLegendKey val="0"/>
          <c:showVal val="0"/>
          <c:showCatName val="0"/>
          <c:showSerName val="0"/>
          <c:showPercent val="0"/>
          <c:showBubbleSize val="0"/>
        </c:dLbls>
        <c:gapWidth val="182"/>
        <c:axId val="98093840"/>
        <c:axId val="98094320"/>
      </c:barChart>
      <c:catAx>
        <c:axId val="9809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94320"/>
        <c:crosses val="autoZero"/>
        <c:auto val="1"/>
        <c:lblAlgn val="ctr"/>
        <c:lblOffset val="100"/>
        <c:noMultiLvlLbl val="0"/>
      </c:catAx>
      <c:valAx>
        <c:axId val="9809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938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[Excel_Inventory_Analytics.xlsx]Sheet3!PivotTable4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Availability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Available</c:v>
                </c:pt>
                <c:pt idx="1">
                  <c:v>Inactive</c:v>
                </c:pt>
                <c:pt idx="2">
                  <c:v>Upcoming</c:v>
                </c:pt>
              </c:strCache>
            </c:strRef>
          </c:cat>
          <c:val>
            <c:numRef>
              <c:f>Sheet3!$B$4:$B$7</c:f>
              <c:numCache>
                <c:formatCode>General</c:formatCode>
                <c:ptCount val="3"/>
                <c:pt idx="0">
                  <c:v>20</c:v>
                </c:pt>
                <c:pt idx="1">
                  <c:v>55</c:v>
                </c:pt>
                <c:pt idx="2">
                  <c:v>25</c:v>
                </c:pt>
              </c:numCache>
            </c:numRef>
          </c:val>
          <c:extLst>
            <c:ext xmlns:c16="http://schemas.microsoft.com/office/drawing/2014/chart" uri="{C3380CC4-5D6E-409C-BE32-E72D297353CC}">
              <c16:uniqueId val="{00000000-1D00-4D65-A5B7-6E82E63BF7C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[Excel_Inventory_Analytics.xlsx]Sheet3!PivotTable5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Vs Price Band Distribution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Sheet3!$E$3:$E$4</c:f>
              <c:strCache>
                <c:ptCount val="1"/>
                <c:pt idx="0">
                  <c:v>High</c:v>
                </c:pt>
              </c:strCache>
            </c:strRef>
          </c:tx>
          <c:spPr>
            <a:solidFill>
              <a:schemeClr val="accent1"/>
            </a:solidFill>
            <a:ln>
              <a:noFill/>
            </a:ln>
            <a:effectLst/>
          </c:spPr>
          <c:invertIfNegative val="0"/>
          <c:cat>
            <c:strRef>
              <c:f>Sheet3!$D$5:$D$37</c:f>
              <c:strCache>
                <c:ptCount val="32"/>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strCache>
            </c:strRef>
          </c:cat>
          <c:val>
            <c:numRef>
              <c:f>Sheet3!$E$5:$E$37</c:f>
              <c:numCache>
                <c:formatCode>General</c:formatCode>
                <c:ptCount val="32"/>
                <c:pt idx="1">
                  <c:v>2</c:v>
                </c:pt>
                <c:pt idx="3">
                  <c:v>2</c:v>
                </c:pt>
                <c:pt idx="4">
                  <c:v>1</c:v>
                </c:pt>
                <c:pt idx="5">
                  <c:v>1</c:v>
                </c:pt>
                <c:pt idx="6">
                  <c:v>2</c:v>
                </c:pt>
                <c:pt idx="7">
                  <c:v>1</c:v>
                </c:pt>
                <c:pt idx="8">
                  <c:v>1</c:v>
                </c:pt>
                <c:pt idx="9">
                  <c:v>3</c:v>
                </c:pt>
                <c:pt idx="11">
                  <c:v>2</c:v>
                </c:pt>
                <c:pt idx="12">
                  <c:v>2</c:v>
                </c:pt>
                <c:pt idx="13">
                  <c:v>1</c:v>
                </c:pt>
                <c:pt idx="14">
                  <c:v>2</c:v>
                </c:pt>
                <c:pt idx="15">
                  <c:v>2</c:v>
                </c:pt>
                <c:pt idx="16">
                  <c:v>1</c:v>
                </c:pt>
                <c:pt idx="17">
                  <c:v>1</c:v>
                </c:pt>
                <c:pt idx="18">
                  <c:v>2</c:v>
                </c:pt>
                <c:pt idx="19">
                  <c:v>2</c:v>
                </c:pt>
                <c:pt idx="21">
                  <c:v>1</c:v>
                </c:pt>
                <c:pt idx="24">
                  <c:v>2</c:v>
                </c:pt>
                <c:pt idx="25">
                  <c:v>1</c:v>
                </c:pt>
                <c:pt idx="26">
                  <c:v>1</c:v>
                </c:pt>
                <c:pt idx="27">
                  <c:v>2</c:v>
                </c:pt>
                <c:pt idx="29">
                  <c:v>1</c:v>
                </c:pt>
                <c:pt idx="30">
                  <c:v>1</c:v>
                </c:pt>
                <c:pt idx="31">
                  <c:v>3</c:v>
                </c:pt>
              </c:numCache>
            </c:numRef>
          </c:val>
          <c:extLst>
            <c:ext xmlns:c16="http://schemas.microsoft.com/office/drawing/2014/chart" uri="{C3380CC4-5D6E-409C-BE32-E72D297353CC}">
              <c16:uniqueId val="{00000000-AA49-4B48-8DFD-6E137B6A7BC5}"/>
            </c:ext>
          </c:extLst>
        </c:ser>
        <c:ser>
          <c:idx val="1"/>
          <c:order val="1"/>
          <c:tx>
            <c:strRef>
              <c:f>Sheet3!$F$3:$F$4</c:f>
              <c:strCache>
                <c:ptCount val="1"/>
                <c:pt idx="0">
                  <c:v>Low</c:v>
                </c:pt>
              </c:strCache>
            </c:strRef>
          </c:tx>
          <c:spPr>
            <a:solidFill>
              <a:schemeClr val="accent2"/>
            </a:solidFill>
            <a:ln>
              <a:noFill/>
            </a:ln>
            <a:effectLst/>
          </c:spPr>
          <c:invertIfNegative val="0"/>
          <c:cat>
            <c:strRef>
              <c:f>Sheet3!$D$5:$D$37</c:f>
              <c:strCache>
                <c:ptCount val="32"/>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strCache>
            </c:strRef>
          </c:cat>
          <c:val>
            <c:numRef>
              <c:f>Sheet3!$F$5:$F$37</c:f>
              <c:numCache>
                <c:formatCode>General</c:formatCode>
                <c:ptCount val="32"/>
                <c:pt idx="1">
                  <c:v>2</c:v>
                </c:pt>
                <c:pt idx="2">
                  <c:v>1</c:v>
                </c:pt>
                <c:pt idx="3">
                  <c:v>1</c:v>
                </c:pt>
                <c:pt idx="7">
                  <c:v>1</c:v>
                </c:pt>
                <c:pt idx="10">
                  <c:v>1</c:v>
                </c:pt>
                <c:pt idx="16">
                  <c:v>3</c:v>
                </c:pt>
                <c:pt idx="17">
                  <c:v>1</c:v>
                </c:pt>
                <c:pt idx="19">
                  <c:v>1</c:v>
                </c:pt>
                <c:pt idx="20">
                  <c:v>1</c:v>
                </c:pt>
                <c:pt idx="21">
                  <c:v>1</c:v>
                </c:pt>
                <c:pt idx="22">
                  <c:v>1</c:v>
                </c:pt>
                <c:pt idx="24">
                  <c:v>1</c:v>
                </c:pt>
                <c:pt idx="27">
                  <c:v>1</c:v>
                </c:pt>
                <c:pt idx="28">
                  <c:v>2</c:v>
                </c:pt>
                <c:pt idx="29">
                  <c:v>1</c:v>
                </c:pt>
                <c:pt idx="31">
                  <c:v>1</c:v>
                </c:pt>
              </c:numCache>
            </c:numRef>
          </c:val>
          <c:extLst>
            <c:ext xmlns:c16="http://schemas.microsoft.com/office/drawing/2014/chart" uri="{C3380CC4-5D6E-409C-BE32-E72D297353CC}">
              <c16:uniqueId val="{00000001-AA49-4B48-8DFD-6E137B6A7BC5}"/>
            </c:ext>
          </c:extLst>
        </c:ser>
        <c:ser>
          <c:idx val="2"/>
          <c:order val="2"/>
          <c:tx>
            <c:strRef>
              <c:f>Sheet3!$G$3:$G$4</c:f>
              <c:strCache>
                <c:ptCount val="1"/>
                <c:pt idx="0">
                  <c:v>Medium</c:v>
                </c:pt>
              </c:strCache>
            </c:strRef>
          </c:tx>
          <c:spPr>
            <a:solidFill>
              <a:schemeClr val="accent3"/>
            </a:solidFill>
            <a:ln>
              <a:noFill/>
            </a:ln>
            <a:effectLst/>
          </c:spPr>
          <c:invertIfNegative val="0"/>
          <c:cat>
            <c:strRef>
              <c:f>Sheet3!$D$5:$D$37</c:f>
              <c:strCache>
                <c:ptCount val="32"/>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strCache>
            </c:strRef>
          </c:cat>
          <c:val>
            <c:numRef>
              <c:f>Sheet3!$G$5:$G$37</c:f>
              <c:numCache>
                <c:formatCode>General</c:formatCode>
                <c:ptCount val="32"/>
                <c:pt idx="0">
                  <c:v>1</c:v>
                </c:pt>
                <c:pt idx="1">
                  <c:v>2</c:v>
                </c:pt>
                <c:pt idx="2">
                  <c:v>3</c:v>
                </c:pt>
                <c:pt idx="3">
                  <c:v>1</c:v>
                </c:pt>
                <c:pt idx="4">
                  <c:v>3</c:v>
                </c:pt>
                <c:pt idx="5">
                  <c:v>1</c:v>
                </c:pt>
                <c:pt idx="6">
                  <c:v>1</c:v>
                </c:pt>
                <c:pt idx="7">
                  <c:v>4</c:v>
                </c:pt>
                <c:pt idx="11">
                  <c:v>1</c:v>
                </c:pt>
                <c:pt idx="12">
                  <c:v>2</c:v>
                </c:pt>
                <c:pt idx="13">
                  <c:v>1</c:v>
                </c:pt>
                <c:pt idx="15">
                  <c:v>1</c:v>
                </c:pt>
                <c:pt idx="16">
                  <c:v>2</c:v>
                </c:pt>
                <c:pt idx="19">
                  <c:v>2</c:v>
                </c:pt>
                <c:pt idx="20">
                  <c:v>2</c:v>
                </c:pt>
                <c:pt idx="21">
                  <c:v>1</c:v>
                </c:pt>
                <c:pt idx="22">
                  <c:v>1</c:v>
                </c:pt>
                <c:pt idx="23">
                  <c:v>2</c:v>
                </c:pt>
                <c:pt idx="24">
                  <c:v>2</c:v>
                </c:pt>
                <c:pt idx="25">
                  <c:v>1</c:v>
                </c:pt>
                <c:pt idx="26">
                  <c:v>2</c:v>
                </c:pt>
                <c:pt idx="27">
                  <c:v>1</c:v>
                </c:pt>
                <c:pt idx="29">
                  <c:v>1</c:v>
                </c:pt>
                <c:pt idx="30">
                  <c:v>1</c:v>
                </c:pt>
                <c:pt idx="31">
                  <c:v>1</c:v>
                </c:pt>
              </c:numCache>
            </c:numRef>
          </c:val>
          <c:extLst>
            <c:ext xmlns:c16="http://schemas.microsoft.com/office/drawing/2014/chart" uri="{C3380CC4-5D6E-409C-BE32-E72D297353CC}">
              <c16:uniqueId val="{00000002-AA49-4B48-8DFD-6E137B6A7BC5}"/>
            </c:ext>
          </c:extLst>
        </c:ser>
        <c:dLbls>
          <c:showLegendKey val="0"/>
          <c:showVal val="0"/>
          <c:showCatName val="0"/>
          <c:showSerName val="0"/>
          <c:showPercent val="0"/>
          <c:showBubbleSize val="0"/>
        </c:dLbls>
        <c:gapWidth val="150"/>
        <c:overlap val="100"/>
        <c:axId val="1109271920"/>
        <c:axId val="1109275280"/>
      </c:barChart>
      <c:catAx>
        <c:axId val="110927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275280"/>
        <c:crosses val="autoZero"/>
        <c:auto val="1"/>
        <c:lblAlgn val="ctr"/>
        <c:lblOffset val="100"/>
        <c:noMultiLvlLbl val="0"/>
      </c:catAx>
      <c:valAx>
        <c:axId val="110927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271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22860</xdr:colOff>
      <xdr:row>38</xdr:row>
      <xdr:rowOff>22860</xdr:rowOff>
    </xdr:from>
    <xdr:to>
      <xdr:col>6</xdr:col>
      <xdr:colOff>137160</xdr:colOff>
      <xdr:row>60</xdr:row>
      <xdr:rowOff>7620</xdr:rowOff>
    </xdr:to>
    <xdr:graphicFrame macro="">
      <xdr:nvGraphicFramePr>
        <xdr:cNvPr id="3" name="Chart 2">
          <a:extLst>
            <a:ext uri="{FF2B5EF4-FFF2-40B4-BE49-F238E27FC236}">
              <a16:creationId xmlns:a16="http://schemas.microsoft.com/office/drawing/2014/main" id="{CEFEF471-A7F4-07FF-F4BD-68CA7882C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548640</xdr:colOff>
      <xdr:row>34</xdr:row>
      <xdr:rowOff>15240</xdr:rowOff>
    </xdr:from>
    <xdr:to>
      <xdr:col>20</xdr:col>
      <xdr:colOff>312420</xdr:colOff>
      <xdr:row>60</xdr:row>
      <xdr:rowOff>45720</xdr:rowOff>
    </xdr:to>
    <xdr:graphicFrame macro="">
      <xdr:nvGraphicFramePr>
        <xdr:cNvPr id="4" name="Chart 3">
          <a:extLst>
            <a:ext uri="{FF2B5EF4-FFF2-40B4-BE49-F238E27FC236}">
              <a16:creationId xmlns:a16="http://schemas.microsoft.com/office/drawing/2014/main" id="{791BF0B3-CF68-11FD-E800-79638C60E1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2</xdr:row>
      <xdr:rowOff>7620</xdr:rowOff>
    </xdr:from>
    <xdr:to>
      <xdr:col>11</xdr:col>
      <xdr:colOff>0</xdr:colOff>
      <xdr:row>16</xdr:row>
      <xdr:rowOff>7620</xdr:rowOff>
    </xdr:to>
    <mc:AlternateContent xmlns:mc="http://schemas.openxmlformats.org/markup-compatibility/2006">
      <mc:Choice xmlns:a14="http://schemas.microsoft.com/office/drawing/2010/main" Requires="a14">
        <xdr:graphicFrame macro="">
          <xdr:nvGraphicFramePr>
            <xdr:cNvPr id="5" name="Brand">
              <a:extLst>
                <a:ext uri="{FF2B5EF4-FFF2-40B4-BE49-F238E27FC236}">
                  <a16:creationId xmlns:a16="http://schemas.microsoft.com/office/drawing/2014/main" id="{75B8FF30-A723-2D80-4A3A-965310BE45ED}"/>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8366760" y="373380"/>
              <a:ext cx="1828800" cy="2560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xdr:colOff>
      <xdr:row>1</xdr:row>
      <xdr:rowOff>175260</xdr:rowOff>
    </xdr:from>
    <xdr:to>
      <xdr:col>15</xdr:col>
      <xdr:colOff>30480</xdr:colOff>
      <xdr:row>16</xdr:row>
      <xdr:rowOff>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0A5B646C-0397-4089-1906-8241120F73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835640" y="358140"/>
              <a:ext cx="1828800" cy="2567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601980</xdr:colOff>
      <xdr:row>19</xdr:row>
      <xdr:rowOff>0</xdr:rowOff>
    </xdr:from>
    <xdr:to>
      <xdr:col>10</xdr:col>
      <xdr:colOff>601980</xdr:colOff>
      <xdr:row>33</xdr:row>
      <xdr:rowOff>0</xdr:rowOff>
    </xdr:to>
    <mc:AlternateContent xmlns:mc="http://schemas.openxmlformats.org/markup-compatibility/2006">
      <mc:Choice xmlns:a14="http://schemas.microsoft.com/office/drawing/2010/main" Requires="a14">
        <xdr:graphicFrame macro="">
          <xdr:nvGraphicFramePr>
            <xdr:cNvPr id="7" name="Price Band">
              <a:extLst>
                <a:ext uri="{FF2B5EF4-FFF2-40B4-BE49-F238E27FC236}">
                  <a16:creationId xmlns:a16="http://schemas.microsoft.com/office/drawing/2014/main" id="{736E2E86-5F75-8C5E-9377-E698ABDF6CB9}"/>
                </a:ext>
              </a:extLst>
            </xdr:cNvPr>
            <xdr:cNvGraphicFramePr/>
          </xdr:nvGraphicFramePr>
          <xdr:xfrm>
            <a:off x="0" y="0"/>
            <a:ext cx="0" cy="0"/>
          </xdr:xfrm>
          <a:graphic>
            <a:graphicData uri="http://schemas.microsoft.com/office/drawing/2010/slicer">
              <sle:slicer xmlns:sle="http://schemas.microsoft.com/office/drawing/2010/slicer" name="Price Band"/>
            </a:graphicData>
          </a:graphic>
        </xdr:graphicFrame>
      </mc:Choice>
      <mc:Fallback>
        <xdr:sp macro="" textlink="">
          <xdr:nvSpPr>
            <xdr:cNvPr id="0" name=""/>
            <xdr:cNvSpPr>
              <a:spLocks noTextEdit="1"/>
            </xdr:cNvSpPr>
          </xdr:nvSpPr>
          <xdr:spPr>
            <a:xfrm>
              <a:off x="8359140" y="3474720"/>
              <a:ext cx="1828800" cy="2560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19</xdr:row>
      <xdr:rowOff>22860</xdr:rowOff>
    </xdr:from>
    <xdr:to>
      <xdr:col>15</xdr:col>
      <xdr:colOff>7620</xdr:colOff>
      <xdr:row>33</xdr:row>
      <xdr:rowOff>7620</xdr:rowOff>
    </xdr:to>
    <mc:AlternateContent xmlns:mc="http://schemas.openxmlformats.org/markup-compatibility/2006">
      <mc:Choice xmlns:a14="http://schemas.microsoft.com/office/drawing/2010/main" Requires="a14">
        <xdr:graphicFrame macro="">
          <xdr:nvGraphicFramePr>
            <xdr:cNvPr id="8" name="Availability Flag">
              <a:extLst>
                <a:ext uri="{FF2B5EF4-FFF2-40B4-BE49-F238E27FC236}">
                  <a16:creationId xmlns:a16="http://schemas.microsoft.com/office/drawing/2014/main" id="{EDBB4CEF-14E3-BB9B-B199-D5BDE6DFDF46}"/>
                </a:ext>
              </a:extLst>
            </xdr:cNvPr>
            <xdr:cNvGraphicFramePr/>
          </xdr:nvGraphicFramePr>
          <xdr:xfrm>
            <a:off x="0" y="0"/>
            <a:ext cx="0" cy="0"/>
          </xdr:xfrm>
          <a:graphic>
            <a:graphicData uri="http://schemas.microsoft.com/office/drawing/2010/slicer">
              <sle:slicer xmlns:sle="http://schemas.microsoft.com/office/drawing/2010/slicer" name="Availability Flag"/>
            </a:graphicData>
          </a:graphic>
        </xdr:graphicFrame>
      </mc:Choice>
      <mc:Fallback>
        <xdr:sp macro="" textlink="">
          <xdr:nvSpPr>
            <xdr:cNvPr id="0" name=""/>
            <xdr:cNvSpPr>
              <a:spLocks noTextEdit="1"/>
            </xdr:cNvSpPr>
          </xdr:nvSpPr>
          <xdr:spPr>
            <a:xfrm>
              <a:off x="10812780" y="3497580"/>
              <a:ext cx="1828800" cy="2545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594360</xdr:colOff>
      <xdr:row>4</xdr:row>
      <xdr:rowOff>30480</xdr:rowOff>
    </xdr:from>
    <xdr:to>
      <xdr:col>21</xdr:col>
      <xdr:colOff>15240</xdr:colOff>
      <xdr:row>19</xdr:row>
      <xdr:rowOff>30480</xdr:rowOff>
    </xdr:to>
    <xdr:graphicFrame macro="">
      <xdr:nvGraphicFramePr>
        <xdr:cNvPr id="2" name="Chart 1">
          <a:extLst>
            <a:ext uri="{FF2B5EF4-FFF2-40B4-BE49-F238E27FC236}">
              <a16:creationId xmlns:a16="http://schemas.microsoft.com/office/drawing/2014/main" id="{8C8D08E3-A3DE-672F-207E-3604F1060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22860</xdr:colOff>
      <xdr:row>21</xdr:row>
      <xdr:rowOff>53340</xdr:rowOff>
    </xdr:from>
    <xdr:to>
      <xdr:col>21</xdr:col>
      <xdr:colOff>30480</xdr:colOff>
      <xdr:row>42</xdr:row>
      <xdr:rowOff>91440</xdr:rowOff>
    </xdr:to>
    <xdr:graphicFrame macro="">
      <xdr:nvGraphicFramePr>
        <xdr:cNvPr id="3" name="Chart 2">
          <a:extLst>
            <a:ext uri="{FF2B5EF4-FFF2-40B4-BE49-F238E27FC236}">
              <a16:creationId xmlns:a16="http://schemas.microsoft.com/office/drawing/2014/main" id="{7295B0A2-EF38-C435-1F6B-56A35E052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6</xdr:col>
      <xdr:colOff>312420</xdr:colOff>
      <xdr:row>28</xdr:row>
      <xdr:rowOff>152400</xdr:rowOff>
    </xdr:to>
    <xdr:pic>
      <xdr:nvPicPr>
        <xdr:cNvPr id="3" name="Picture 2">
          <a:extLst>
            <a:ext uri="{FF2B5EF4-FFF2-40B4-BE49-F238E27FC236}">
              <a16:creationId xmlns:a16="http://schemas.microsoft.com/office/drawing/2014/main" id="{91603D2A-2007-CDED-78D9-F5B22E08E777}"/>
            </a:ext>
          </a:extLst>
        </xdr:cNvPr>
        <xdr:cNvPicPr>
          <a:picLocks noChangeAspect="1"/>
        </xdr:cNvPicPr>
      </xdr:nvPicPr>
      <xdr:blipFill>
        <a:blip xmlns:r="http://schemas.openxmlformats.org/officeDocument/2006/relationships" r:embed="rId1"/>
        <a:stretch>
          <a:fillRect/>
        </a:stretch>
      </xdr:blipFill>
      <xdr:spPr>
        <a:xfrm>
          <a:off x="0" y="1569720"/>
          <a:ext cx="6659880" cy="3992880"/>
        </a:xfrm>
        <a:prstGeom prst="rect">
          <a:avLst/>
        </a:prstGeom>
      </xdr:spPr>
    </xdr:pic>
    <xdr:clientData/>
  </xdr:twoCellAnchor>
  <xdr:twoCellAnchor editAs="oneCell">
    <xdr:from>
      <xdr:col>6</xdr:col>
      <xdr:colOff>685800</xdr:colOff>
      <xdr:row>6</xdr:row>
      <xdr:rowOff>167641</xdr:rowOff>
    </xdr:from>
    <xdr:to>
      <xdr:col>13</xdr:col>
      <xdr:colOff>152400</xdr:colOff>
      <xdr:row>28</xdr:row>
      <xdr:rowOff>144781</xdr:rowOff>
    </xdr:to>
    <xdr:pic>
      <xdr:nvPicPr>
        <xdr:cNvPr id="4" name="Picture 3">
          <a:extLst>
            <a:ext uri="{FF2B5EF4-FFF2-40B4-BE49-F238E27FC236}">
              <a16:creationId xmlns:a16="http://schemas.microsoft.com/office/drawing/2014/main" id="{67E793BE-52EA-3202-A43A-485A613F19F9}"/>
            </a:ext>
          </a:extLst>
        </xdr:cNvPr>
        <xdr:cNvPicPr>
          <a:picLocks noChangeAspect="1"/>
        </xdr:cNvPicPr>
      </xdr:nvPicPr>
      <xdr:blipFill>
        <a:blip xmlns:r="http://schemas.openxmlformats.org/officeDocument/2006/relationships" r:embed="rId2"/>
        <a:stretch>
          <a:fillRect/>
        </a:stretch>
      </xdr:blipFill>
      <xdr:spPr>
        <a:xfrm>
          <a:off x="7033260" y="1554481"/>
          <a:ext cx="7025640" cy="4000500"/>
        </a:xfrm>
        <a:prstGeom prst="rect">
          <a:avLst/>
        </a:prstGeom>
      </xdr:spPr>
    </xdr:pic>
    <xdr:clientData/>
  </xdr:twoCellAnchor>
  <xdr:twoCellAnchor editAs="oneCell">
    <xdr:from>
      <xdr:col>6</xdr:col>
      <xdr:colOff>632460</xdr:colOff>
      <xdr:row>34</xdr:row>
      <xdr:rowOff>137160</xdr:rowOff>
    </xdr:from>
    <xdr:to>
      <xdr:col>13</xdr:col>
      <xdr:colOff>521738</xdr:colOff>
      <xdr:row>58</xdr:row>
      <xdr:rowOff>160020</xdr:rowOff>
    </xdr:to>
    <xdr:pic>
      <xdr:nvPicPr>
        <xdr:cNvPr id="7" name="Picture 6">
          <a:extLst>
            <a:ext uri="{FF2B5EF4-FFF2-40B4-BE49-F238E27FC236}">
              <a16:creationId xmlns:a16="http://schemas.microsoft.com/office/drawing/2014/main" id="{A8C527A8-B5CF-D451-A0A2-9FEAC73D54C3}"/>
            </a:ext>
          </a:extLst>
        </xdr:cNvPr>
        <xdr:cNvPicPr>
          <a:picLocks noChangeAspect="1"/>
        </xdr:cNvPicPr>
      </xdr:nvPicPr>
      <xdr:blipFill>
        <a:blip xmlns:r="http://schemas.openxmlformats.org/officeDocument/2006/relationships" r:embed="rId3"/>
        <a:stretch>
          <a:fillRect/>
        </a:stretch>
      </xdr:blipFill>
      <xdr:spPr>
        <a:xfrm>
          <a:off x="6979920" y="6644640"/>
          <a:ext cx="7448318" cy="4411980"/>
        </a:xfrm>
        <a:prstGeom prst="rect">
          <a:avLst/>
        </a:prstGeom>
      </xdr:spPr>
    </xdr:pic>
    <xdr:clientData/>
  </xdr:twoCellAnchor>
  <xdr:twoCellAnchor editAs="oneCell">
    <xdr:from>
      <xdr:col>0</xdr:col>
      <xdr:colOff>1348740</xdr:colOff>
      <xdr:row>61</xdr:row>
      <xdr:rowOff>121920</xdr:rowOff>
    </xdr:from>
    <xdr:to>
      <xdr:col>3</xdr:col>
      <xdr:colOff>365760</xdr:colOff>
      <xdr:row>75</xdr:row>
      <xdr:rowOff>112395</xdr:rowOff>
    </xdr:to>
    <mc:AlternateContent xmlns:mc="http://schemas.openxmlformats.org/markup-compatibility/2006">
      <mc:Choice xmlns:a14="http://schemas.microsoft.com/office/drawing/2010/main" Requires="a14">
        <xdr:graphicFrame macro="">
          <xdr:nvGraphicFramePr>
            <xdr:cNvPr id="9" name="Brand 1">
              <a:extLst>
                <a:ext uri="{FF2B5EF4-FFF2-40B4-BE49-F238E27FC236}">
                  <a16:creationId xmlns:a16="http://schemas.microsoft.com/office/drawing/2014/main" id="{BC89A5A1-0A1C-4FBE-B484-F7DF1090BDAC}"/>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1348740" y="11785185"/>
              <a:ext cx="1823979" cy="2603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1089660</xdr:colOff>
      <xdr:row>61</xdr:row>
      <xdr:rowOff>99060</xdr:rowOff>
    </xdr:from>
    <xdr:to>
      <xdr:col>4</xdr:col>
      <xdr:colOff>601980</xdr:colOff>
      <xdr:row>75</xdr:row>
      <xdr:rowOff>68580</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30796983-15D5-423D-8DAF-56317AC0F12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896619" y="11762325"/>
              <a:ext cx="1829422" cy="2582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457200</xdr:colOff>
      <xdr:row>61</xdr:row>
      <xdr:rowOff>91440</xdr:rowOff>
    </xdr:from>
    <xdr:to>
      <xdr:col>7</xdr:col>
      <xdr:colOff>320040</xdr:colOff>
      <xdr:row>75</xdr:row>
      <xdr:rowOff>45720</xdr:rowOff>
    </xdr:to>
    <mc:AlternateContent xmlns:mc="http://schemas.openxmlformats.org/markup-compatibility/2006">
      <mc:Choice xmlns:a14="http://schemas.microsoft.com/office/drawing/2010/main" Requires="a14">
        <xdr:graphicFrame macro="">
          <xdr:nvGraphicFramePr>
            <xdr:cNvPr id="13" name="Price Band 1">
              <a:extLst>
                <a:ext uri="{FF2B5EF4-FFF2-40B4-BE49-F238E27FC236}">
                  <a16:creationId xmlns:a16="http://schemas.microsoft.com/office/drawing/2014/main" id="{692C5EB7-3A2F-4609-9D82-6B07DDBDEEFA}"/>
                </a:ext>
              </a:extLst>
            </xdr:cNvPr>
            <xdr:cNvGraphicFramePr/>
          </xdr:nvGraphicFramePr>
          <xdr:xfrm>
            <a:off x="0" y="0"/>
            <a:ext cx="0" cy="0"/>
          </xdr:xfrm>
          <a:graphic>
            <a:graphicData uri="http://schemas.microsoft.com/office/drawing/2010/slicer">
              <sle:slicer xmlns:sle="http://schemas.microsoft.com/office/drawing/2010/slicer" name="Price Band 1"/>
            </a:graphicData>
          </a:graphic>
        </xdr:graphicFrame>
      </mc:Choice>
      <mc:Fallback>
        <xdr:sp macro="" textlink="">
          <xdr:nvSpPr>
            <xdr:cNvPr id="0" name=""/>
            <xdr:cNvSpPr>
              <a:spLocks noTextEdit="1"/>
            </xdr:cNvSpPr>
          </xdr:nvSpPr>
          <xdr:spPr>
            <a:xfrm>
              <a:off x="6794241" y="11754705"/>
              <a:ext cx="1830044" cy="2566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594360</xdr:colOff>
      <xdr:row>61</xdr:row>
      <xdr:rowOff>83820</xdr:rowOff>
    </xdr:from>
    <xdr:to>
      <xdr:col>8</xdr:col>
      <xdr:colOff>1775460</xdr:colOff>
      <xdr:row>75</xdr:row>
      <xdr:rowOff>22860</xdr:rowOff>
    </xdr:to>
    <mc:AlternateContent xmlns:mc="http://schemas.openxmlformats.org/markup-compatibility/2006">
      <mc:Choice xmlns:a14="http://schemas.microsoft.com/office/drawing/2010/main" Requires="a14">
        <xdr:graphicFrame macro="">
          <xdr:nvGraphicFramePr>
            <xdr:cNvPr id="14" name="Availability Flag 1">
              <a:extLst>
                <a:ext uri="{FF2B5EF4-FFF2-40B4-BE49-F238E27FC236}">
                  <a16:creationId xmlns:a16="http://schemas.microsoft.com/office/drawing/2014/main" id="{00BA5D13-5563-4FD2-8A9B-0F58FFAF6624}"/>
                </a:ext>
              </a:extLst>
            </xdr:cNvPr>
            <xdr:cNvGraphicFramePr/>
          </xdr:nvGraphicFramePr>
          <xdr:xfrm>
            <a:off x="0" y="0"/>
            <a:ext cx="0" cy="0"/>
          </xdr:xfrm>
          <a:graphic>
            <a:graphicData uri="http://schemas.microsoft.com/office/drawing/2010/slicer">
              <sle:slicer xmlns:sle="http://schemas.microsoft.com/office/drawing/2010/slicer" name="Availability Flag 1"/>
            </a:graphicData>
          </a:graphic>
        </xdr:graphicFrame>
      </mc:Choice>
      <mc:Fallback>
        <xdr:sp macro="" textlink="">
          <xdr:nvSpPr>
            <xdr:cNvPr id="0" name=""/>
            <xdr:cNvSpPr>
              <a:spLocks noTextEdit="1"/>
            </xdr:cNvSpPr>
          </xdr:nvSpPr>
          <xdr:spPr>
            <a:xfrm>
              <a:off x="8898605" y="11747085"/>
              <a:ext cx="1787590" cy="2551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0</xdr:rowOff>
    </xdr:from>
    <xdr:to>
      <xdr:col>6</xdr:col>
      <xdr:colOff>297180</xdr:colOff>
      <xdr:row>59</xdr:row>
      <xdr:rowOff>22860</xdr:rowOff>
    </xdr:to>
    <xdr:pic>
      <xdr:nvPicPr>
        <xdr:cNvPr id="16" name="Picture 15">
          <a:extLst>
            <a:ext uri="{FF2B5EF4-FFF2-40B4-BE49-F238E27FC236}">
              <a16:creationId xmlns:a16="http://schemas.microsoft.com/office/drawing/2014/main" id="{4C5C2B61-C3B3-3075-2EE9-A152CD42F14D}"/>
            </a:ext>
          </a:extLst>
        </xdr:cNvPr>
        <xdr:cNvPicPr>
          <a:picLocks noChangeAspect="1"/>
        </xdr:cNvPicPr>
      </xdr:nvPicPr>
      <xdr:blipFill>
        <a:blip xmlns:r="http://schemas.openxmlformats.org/officeDocument/2006/relationships" r:embed="rId4"/>
        <a:stretch>
          <a:fillRect/>
        </a:stretch>
      </xdr:blipFill>
      <xdr:spPr>
        <a:xfrm>
          <a:off x="0" y="6690360"/>
          <a:ext cx="6644640" cy="44119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et" refreshedDate="46009.904602430557" createdVersion="8" refreshedVersion="8" minRefreshableVersion="3" recordCount="100" xr:uid="{7B1F1DED-9A30-4450-92F6-A93D3FE97D08}">
  <cacheSource type="worksheet">
    <worksheetSource name="tblInventory"/>
  </cacheSource>
  <cacheFields count="15">
    <cacheField name="Name" numFmtId="0">
      <sharedItems/>
    </cacheField>
    <cacheField name="Brand" numFmtId="0">
      <sharedItems count="100">
        <s v="Garner, Boyle and Flynn"/>
        <s v="Mueller Inc"/>
        <s v="Lawson, Keller and Winters"/>
        <s v="Gallagher and Sons"/>
        <s v="Irwin LLC"/>
        <s v="Benjamin, Nelson and Hancock"/>
        <s v="Mccoy, Waters and Rose"/>
        <s v="Morrow and Sons"/>
        <s v="Edwards, Odonnell and Conley"/>
        <s v="Brennan, Archer and Rosales"/>
        <s v="Russo-West"/>
        <s v="Vazquez and Sons"/>
        <s v="Delgado-Blackwell"/>
        <s v="Contreras PLC"/>
        <s v="Juarez, Powell and Travis"/>
        <s v="Reid, Chase and Ballard"/>
        <s v="Barker-Murphy"/>
        <s v="Vazquez-Smith"/>
        <s v="Pruitt, Higgins and Barnett"/>
        <s v="Bray LLC"/>
        <s v="Wang-Valenzuela"/>
        <s v="Carney Ltd"/>
        <s v="Gallegos, Osborne and Carpenter"/>
        <s v="Douglas, Thornton and Soto"/>
        <s v="Horn-Pope"/>
        <s v="Khan-Parrish"/>
        <s v="Burton PLC"/>
        <s v="Henry Group"/>
        <s v="Larson-Spence"/>
        <s v="Bonilla-Spears"/>
        <s v="Love LLC"/>
        <s v="Terry-Oliver"/>
        <s v="Morales, Weaver and Fernandez"/>
        <s v="Newman Ltd"/>
        <s v="Novak, Archer and Walton"/>
        <s v="Marshall-Dougherty"/>
        <s v="Hays-Cunningham"/>
        <s v="Barnes-Glass"/>
        <s v="Meyers-Hess"/>
        <s v="Williamson PLC"/>
        <s v="May, Hendrix and Robbins"/>
        <s v="Zimmerman, Barr and Davis"/>
        <s v="Levine, Martin and Mccann"/>
        <s v="Werner PLC"/>
        <s v="Huff, Cameron and Stephenson"/>
        <s v="Suarez, Riddle and Sanders"/>
        <s v="Hanson-Schultz"/>
        <s v="Malone, Jacobson and Hudson"/>
        <s v="Barron-Little"/>
        <s v="Bonilla-Oconnell"/>
        <s v="Decker and Sons"/>
        <s v="Mooney-Gonzales"/>
        <s v="Blake, Weiss and Montgomery"/>
        <s v="Singleton PLC"/>
        <s v="Rivas Group"/>
        <s v="Cervantes Ltd"/>
        <s v="Pace-Hodges"/>
        <s v="Morris LLC"/>
        <s v="Schwartz Ltd"/>
        <s v="Sexton, Dickerson and Blair"/>
        <s v="Stokes Inc"/>
        <s v="Ali-Oliver"/>
        <s v="Odonnell, Boyle and Oconnor"/>
        <s v="Gill LLC"/>
        <s v="Munoz Group"/>
        <s v="Frost, Christensen and Burnett"/>
        <s v="Burton, Gross and Giles"/>
        <s v="Hester, Love and Lynch"/>
        <s v="Shepherd, Greene and House"/>
        <s v="Barry PLC"/>
        <s v="Elliott, Mcfarland and Duran"/>
        <s v="George-Day"/>
        <s v="Hull Inc"/>
        <s v="Fleming Inc"/>
        <s v="Mahoney-Bryan"/>
        <s v="Kennedy-Gordon"/>
        <s v="Olsen-Sawyer"/>
        <s v="Lowe, Mosley and Rivera"/>
        <s v="Sampson-Leon"/>
        <s v="Castro-Mccarty"/>
        <s v="Decker, Montes and Logan"/>
        <s v="Whitney Group"/>
        <s v="Brooks and Sons"/>
        <s v="Kaiser-Banks"/>
        <s v="Lewis Ltd"/>
        <s v="Galloway and Sons"/>
        <s v="Cowan Inc"/>
        <s v="Nichols, Howe and Miller"/>
        <s v="Blair-Russell"/>
        <s v="Christian-Tanner"/>
        <s v="Harrington-Valentine"/>
        <s v="Bauer Inc"/>
        <s v="Jackson Group"/>
        <s v="Wang, Ayala and Bowen"/>
        <s v="Maldonado-Ritter"/>
        <s v="Atkinson Inc"/>
        <s v="Shea Ltd"/>
        <s v="West Ltd"/>
        <s v="Bell, Gamble and Barrett"/>
        <s v="Hebert, Hughes and Trujillo"/>
      </sharedItems>
    </cacheField>
    <cacheField name="Category" numFmtId="0">
      <sharedItems count="32">
        <s v="Books &amp; Stationery"/>
        <s v="Shoes &amp; Footwear"/>
        <s v="Kitchen Appliances"/>
        <s v="Kids' Clothing"/>
        <s v="Skincare"/>
        <s v="Laptops &amp; Computers"/>
        <s v="Automotive"/>
        <s v="Fitness Equipment"/>
        <s v="Health &amp; Wellness"/>
        <s v="Cleaning Supplies"/>
        <s v="Cycling"/>
        <s v="Team Sports"/>
        <s v="Smartphones"/>
        <s v="Women's Clothing"/>
        <s v="Bedding &amp; Bath"/>
        <s v="Grooming Tools"/>
        <s v="Clothing &amp; Apparel"/>
        <s v="Furniture"/>
        <s v="Sports &amp; Outdoors"/>
        <s v="Fragrances"/>
        <s v="Haircare"/>
        <s v="Fishing &amp; Hunting"/>
        <s v="Office Supplies"/>
        <s v="Home Decor"/>
        <s v="Camping &amp; Hiking"/>
        <s v="Beauty &amp; Personal Care"/>
        <s v="Cameras &amp; Accessories"/>
        <s v="Men's Clothing"/>
        <s v="Accessories (Bags, Hats, Belts)"/>
        <s v="Smartwatches"/>
        <s v="Makeup"/>
        <s v="Home &amp; Kitchen"/>
      </sharedItems>
    </cacheField>
    <cacheField name="Price" numFmtId="0">
      <sharedItems containsSemiMixedTypes="0" containsString="0" containsNumber="1" containsInteger="1" minValue="1" maxValue="999"/>
    </cacheField>
    <cacheField name="Currency" numFmtId="0">
      <sharedItems/>
    </cacheField>
    <cacheField name="Stock" numFmtId="0">
      <sharedItems containsSemiMixedTypes="0" containsString="0" containsNumber="1" containsInteger="1" minValue="10" maxValue="998"/>
    </cacheField>
    <cacheField name="EAN" numFmtId="0">
      <sharedItems containsSemiMixedTypes="0" containsString="0" containsNumber="1" containsInteger="1" minValue="524638185" maxValue="9921752342730"/>
    </cacheField>
    <cacheField name="Color" numFmtId="0">
      <sharedItems/>
    </cacheField>
    <cacheField name="Size" numFmtId="0">
      <sharedItems/>
    </cacheField>
    <cacheField name="Availability" numFmtId="0">
      <sharedItems/>
    </cacheField>
    <cacheField name="Price Band" numFmtId="0">
      <sharedItems count="3">
        <s v="Medium"/>
        <s v="High"/>
        <s v="Low"/>
      </sharedItems>
    </cacheField>
    <cacheField name="Stock Value" numFmtId="0">
      <sharedItems containsSemiMixedTypes="0" containsString="0" containsNumber="1" containsInteger="1" minValue="925" maxValue="852147"/>
    </cacheField>
    <cacheField name="Low Stck Flag" numFmtId="0">
      <sharedItems/>
    </cacheField>
    <cacheField name="Availability Flag" numFmtId="0">
      <sharedItems count="3">
        <s v="Upcoming"/>
        <s v="Available"/>
        <s v="Inactive"/>
      </sharedItems>
    </cacheField>
    <cacheField name="Price Band Numeric"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20060666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et" refreshedDate="46009.913450115739" createdVersion="8" refreshedVersion="8" minRefreshableVersion="3" recordCount="100" xr:uid="{D51E5757-8F2D-45C7-928D-0073AAC2ADB4}">
  <cacheSource type="worksheet">
    <worksheetSource ref="A1:K101" sheet="Data"/>
  </cacheSource>
  <cacheFields count="11">
    <cacheField name="Name" numFmtId="0">
      <sharedItems/>
    </cacheField>
    <cacheField name="Brand" numFmtId="0">
      <sharedItems count="100">
        <s v="Garner, Boyle and Flynn"/>
        <s v="Mueller Inc"/>
        <s v="Lawson, Keller and Winters"/>
        <s v="Gallagher and Sons"/>
        <s v="Irwin LLC"/>
        <s v="Benjamin, Nelson and Hancock"/>
        <s v="Mccoy, Waters and Rose"/>
        <s v="Morrow and Sons"/>
        <s v="Edwards, Odonnell and Conley"/>
        <s v="Brennan, Archer and Rosales"/>
        <s v="Russo-West"/>
        <s v="Vazquez and Sons"/>
        <s v="Delgado-Blackwell"/>
        <s v="Contreras PLC"/>
        <s v="Juarez, Powell and Travis"/>
        <s v="Reid, Chase and Ballard"/>
        <s v="Barker-Murphy"/>
        <s v="Vazquez-Smith"/>
        <s v="Pruitt, Higgins and Barnett"/>
        <s v="Bray LLC"/>
        <s v="Wang-Valenzuela"/>
        <s v="Carney Ltd"/>
        <s v="Gallegos, Osborne and Carpenter"/>
        <s v="Douglas, Thornton and Soto"/>
        <s v="Horn-Pope"/>
        <s v="Khan-Parrish"/>
        <s v="Burton PLC"/>
        <s v="Henry Group"/>
        <s v="Larson-Spence"/>
        <s v="Bonilla-Spears"/>
        <s v="Love LLC"/>
        <s v="Terry-Oliver"/>
        <s v="Morales, Weaver and Fernandez"/>
        <s v="Newman Ltd"/>
        <s v="Novak, Archer and Walton"/>
        <s v="Marshall-Dougherty"/>
        <s v="Hays-Cunningham"/>
        <s v="Barnes-Glass"/>
        <s v="Meyers-Hess"/>
        <s v="Williamson PLC"/>
        <s v="May, Hendrix and Robbins"/>
        <s v="Zimmerman, Barr and Davis"/>
        <s v="Levine, Martin and Mccann"/>
        <s v="Werner PLC"/>
        <s v="Huff, Cameron and Stephenson"/>
        <s v="Suarez, Riddle and Sanders"/>
        <s v="Hanson-Schultz"/>
        <s v="Malone, Jacobson and Hudson"/>
        <s v="Barron-Little"/>
        <s v="Bonilla-Oconnell"/>
        <s v="Decker and Sons"/>
        <s v="Mooney-Gonzales"/>
        <s v="Blake, Weiss and Montgomery"/>
        <s v="Singleton PLC"/>
        <s v="Rivas Group"/>
        <s v="Cervantes Ltd"/>
        <s v="Pace-Hodges"/>
        <s v="Morris LLC"/>
        <s v="Schwartz Ltd"/>
        <s v="Sexton, Dickerson and Blair"/>
        <s v="Stokes Inc"/>
        <s v="Ali-Oliver"/>
        <s v="Odonnell, Boyle and Oconnor"/>
        <s v="Gill LLC"/>
        <s v="Munoz Group"/>
        <s v="Frost, Christensen and Burnett"/>
        <s v="Burton, Gross and Giles"/>
        <s v="Hester, Love and Lynch"/>
        <s v="Shepherd, Greene and House"/>
        <s v="Barry PLC"/>
        <s v="Elliott, Mcfarland and Duran"/>
        <s v="George-Day"/>
        <s v="Hull Inc"/>
        <s v="Fleming Inc"/>
        <s v="Mahoney-Bryan"/>
        <s v="Kennedy-Gordon"/>
        <s v="Olsen-Sawyer"/>
        <s v="Lowe, Mosley and Rivera"/>
        <s v="Sampson-Leon"/>
        <s v="Castro-Mccarty"/>
        <s v="Decker, Montes and Logan"/>
        <s v="Whitney Group"/>
        <s v="Brooks and Sons"/>
        <s v="Kaiser-Banks"/>
        <s v="Lewis Ltd"/>
        <s v="Galloway and Sons"/>
        <s v="Cowan Inc"/>
        <s v="Nichols, Howe and Miller"/>
        <s v="Blair-Russell"/>
        <s v="Christian-Tanner"/>
        <s v="Harrington-Valentine"/>
        <s v="Bauer Inc"/>
        <s v="Jackson Group"/>
        <s v="Wang, Ayala and Bowen"/>
        <s v="Maldonado-Ritter"/>
        <s v="Atkinson Inc"/>
        <s v="Shea Ltd"/>
        <s v="West Ltd"/>
        <s v="Bell, Gamble and Barrett"/>
        <s v="Hebert, Hughes and Trujillo"/>
      </sharedItems>
    </cacheField>
    <cacheField name="Category" numFmtId="0">
      <sharedItems/>
    </cacheField>
    <cacheField name="Price" numFmtId="0">
      <sharedItems containsSemiMixedTypes="0" containsString="0" containsNumber="1" containsInteger="1" minValue="1" maxValue="999"/>
    </cacheField>
    <cacheField name="Currency" numFmtId="0">
      <sharedItems/>
    </cacheField>
    <cacheField name="Stock" numFmtId="0">
      <sharedItems containsSemiMixedTypes="0" containsString="0" containsNumber="1" containsInteger="1" minValue="10" maxValue="998"/>
    </cacheField>
    <cacheField name="EAN" numFmtId="0">
      <sharedItems containsSemiMixedTypes="0" containsString="0" containsNumber="1" containsInteger="1" minValue="524638185" maxValue="9921752342730"/>
    </cacheField>
    <cacheField name="Color" numFmtId="0">
      <sharedItems/>
    </cacheField>
    <cacheField name="Size" numFmtId="0">
      <sharedItems/>
    </cacheField>
    <cacheField name="Availability" numFmtId="0">
      <sharedItems/>
    </cacheField>
    <cacheField name="Price Ban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ket" refreshedDate="46009.916785300928" backgroundQuery="1" createdVersion="8" refreshedVersion="8" minRefreshableVersion="3" recordCount="0" supportSubquery="1" supportAdvancedDrill="1" xr:uid="{551979AA-65B4-414A-AEEB-EB9A7BBBDA64}">
  <cacheSource type="external" connectionId="1"/>
  <cacheFields count="2">
    <cacheField name="[tblInventory].[Availability Flag].[Availability Flag]" caption="Availability Flag" numFmtId="0" hierarchy="24" level="1">
      <sharedItems count="3">
        <s v="Available"/>
        <s v="Inactive"/>
        <s v="Upcoming"/>
      </sharedItems>
    </cacheField>
    <cacheField name="[Measures].[Count of Name]" caption="Count of Name" numFmtId="0" hierarchy="29" level="32767"/>
  </cacheFields>
  <cacheHierarchies count="30">
    <cacheHierarchy uniqueName="[Range].[Name]" caption="Name" attribute="1" defaultMemberUniqueName="[Range].[Name].[All]" allUniqueName="[Range].[Name].[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Currency]" caption="Currency" attribute="1" defaultMemberUniqueName="[Range].[Currency].[All]" allUniqueName="[Range].[Currency].[All]" dimensionUniqueName="[Range]" displayFolder="" count="0" memberValueDatatype="130" unbalanced="0"/>
    <cacheHierarchy uniqueName="[Range].[Stock]" caption="Stock" attribute="1" defaultMemberUniqueName="[Range].[Stock].[All]" allUniqueName="[Range].[Stock].[All]" dimensionUniqueName="[Range]" displayFolder="" count="0" memberValueDatatype="20" unbalanced="0"/>
    <cacheHierarchy uniqueName="[Range].[EAN]" caption="EAN" attribute="1" defaultMemberUniqueName="[Range].[EAN].[All]" allUniqueName="[Range].[EAN].[All]" dimensionUniqueName="[Range]" displayFolder="" count="0" memberValueDatatype="5" unbalanced="0"/>
    <cacheHierarchy uniqueName="[Range].[Color]" caption="Color" attribute="1" defaultMemberUniqueName="[Range].[Color].[All]" allUniqueName="[Range].[Color].[All]" dimensionUniqueName="[Range]" displayFolder="" count="0" memberValueDatatype="130" unbalanced="0"/>
    <cacheHierarchy uniqueName="[Range].[Size]" caption="Size" attribute="1" defaultMemberUniqueName="[Range].[Size].[All]" allUniqueName="[Range].[Size].[All]" dimensionUniqueName="[Range]" displayFolder="" count="0" memberValueDatatype="130" unbalanced="0"/>
    <cacheHierarchy uniqueName="[Range].[Availability]" caption="Availability" attribute="1" defaultMemberUniqueName="[Range].[Availability].[All]" allUniqueName="[Range].[Availability].[All]" dimensionUniqueName="[Range]" displayFolder="" count="0" memberValueDatatype="130" unbalanced="0"/>
    <cacheHierarchy uniqueName="[Range].[Price Band]" caption="Price Band" attribute="1" defaultMemberUniqueName="[Range].[Price Band].[All]" allUniqueName="[Range].[Price Band].[All]" dimensionUniqueName="[Range]" displayFolder="" count="0" memberValueDatatype="130" unbalanced="0"/>
    <cacheHierarchy uniqueName="[tblInventory].[Name]" caption="Name" attribute="1" defaultMemberUniqueName="[tblInventory].[Name].[All]" allUniqueName="[tblInventory].[Name].[All]" dimensionUniqueName="[tblInventory]" displayFolder="" count="0" memberValueDatatype="130" unbalanced="0"/>
    <cacheHierarchy uniqueName="[tblInventory].[Brand]" caption="Brand" attribute="1" defaultMemberUniqueName="[tblInventory].[Brand].[All]" allUniqueName="[tblInventory].[Brand].[All]" dimensionUniqueName="[tblInventory]" displayFolder="" count="0" memberValueDatatype="130" unbalanced="0"/>
    <cacheHierarchy uniqueName="[tblInventory].[Category]" caption="Category" attribute="1" defaultMemberUniqueName="[tblInventory].[Category].[All]" allUniqueName="[tblInventory].[Category].[All]" dimensionUniqueName="[tblInventory]" displayFolder="" count="0" memberValueDatatype="130" unbalanced="0"/>
    <cacheHierarchy uniqueName="[tblInventory].[Price]" caption="Price" attribute="1" defaultMemberUniqueName="[tblInventory].[Price].[All]" allUniqueName="[tblInventory].[Price].[All]" dimensionUniqueName="[tblInventory]" displayFolder="" count="0" memberValueDatatype="20" unbalanced="0"/>
    <cacheHierarchy uniqueName="[tblInventory].[Currency]" caption="Currency" attribute="1" defaultMemberUniqueName="[tblInventory].[Currency].[All]" allUniqueName="[tblInventory].[Currency].[All]" dimensionUniqueName="[tblInventory]" displayFolder="" count="0" memberValueDatatype="130" unbalanced="0"/>
    <cacheHierarchy uniqueName="[tblInventory].[Stock]" caption="Stock" attribute="1" defaultMemberUniqueName="[tblInventory].[Stock].[All]" allUniqueName="[tblInventory].[Stock].[All]" dimensionUniqueName="[tblInventory]" displayFolder="" count="0" memberValueDatatype="20" unbalanced="0"/>
    <cacheHierarchy uniqueName="[tblInventory].[EAN]" caption="EAN" attribute="1" defaultMemberUniqueName="[tblInventory].[EAN].[All]" allUniqueName="[tblInventory].[EAN].[All]" dimensionUniqueName="[tblInventory]" displayFolder="" count="0" memberValueDatatype="5" unbalanced="0"/>
    <cacheHierarchy uniqueName="[tblInventory].[Color]" caption="Color" attribute="1" defaultMemberUniqueName="[tblInventory].[Color].[All]" allUniqueName="[tblInventory].[Color].[All]" dimensionUniqueName="[tblInventory]" displayFolder="" count="0" memberValueDatatype="130" unbalanced="0"/>
    <cacheHierarchy uniqueName="[tblInventory].[Size]" caption="Size" attribute="1" defaultMemberUniqueName="[tblInventory].[Size].[All]" allUniqueName="[tblInventory].[Size].[All]" dimensionUniqueName="[tblInventory]" displayFolder="" count="0" memberValueDatatype="130" unbalanced="0"/>
    <cacheHierarchy uniqueName="[tblInventory].[Availability]" caption="Availability" attribute="1" defaultMemberUniqueName="[tblInventory].[Availability].[All]" allUniqueName="[tblInventory].[Availability].[All]" dimensionUniqueName="[tblInventory]" displayFolder="" count="0" memberValueDatatype="130" unbalanced="0"/>
    <cacheHierarchy uniqueName="[tblInventory].[Price Band]" caption="Price Band" attribute="1" defaultMemberUniqueName="[tblInventory].[Price Band].[All]" allUniqueName="[tblInventory].[Price Band].[All]" dimensionUniqueName="[tblInventory]" displayFolder="" count="0" memberValueDatatype="130" unbalanced="0"/>
    <cacheHierarchy uniqueName="[tblInventory].[Stock Value]" caption="Stock Value" attribute="1" defaultMemberUniqueName="[tblInventory].[Stock Value].[All]" allUniqueName="[tblInventory].[Stock Value].[All]" dimensionUniqueName="[tblInventory]" displayFolder="" count="0" memberValueDatatype="20" unbalanced="0"/>
    <cacheHierarchy uniqueName="[tblInventory].[Low Stck Flag]" caption="Low Stck Flag" attribute="1" defaultMemberUniqueName="[tblInventory].[Low Stck Flag].[All]" allUniqueName="[tblInventory].[Low Stck Flag].[All]" dimensionUniqueName="[tblInventory]" displayFolder="" count="0" memberValueDatatype="130" unbalanced="0"/>
    <cacheHierarchy uniqueName="[tblInventory].[Availability Flag]" caption="Availability Flag" attribute="1" defaultMemberUniqueName="[tblInventory].[Availability Flag].[All]" allUniqueName="[tblInventory].[Availability Flag].[All]" dimensionUniqueName="[tblInventory]" displayFolder="" count="2" memberValueDatatype="130" unbalanced="0">
      <fieldsUsage count="2">
        <fieldUsage x="-1"/>
        <fieldUsage x="0"/>
      </fieldsUsage>
    </cacheHierarchy>
    <cacheHierarchy uniqueName="[tblInventory].[Price Band Numeric]" caption="Price Band Numeric" attribute="1" defaultMemberUniqueName="[tblInventory].[Price Band Numeric].[All]" allUniqueName="[tblInventory].[Price Band Numeric].[All]" dimensionUniqueName="[tblInventory]" displayFolder="" count="0" memberValueDatatype="20" unbalanced="0"/>
    <cacheHierarchy uniqueName="[Measures].[__XL_Count Range]" caption="__XL_Count Range" measure="1" displayFolder="" measureGroup="Range" count="0" hidden="1"/>
    <cacheHierarchy uniqueName="[Measures].[__XL_Count tblInventory]" caption="__XL_Count tblInventory" measure="1" displayFolder="" measureGroup="tblInventory" count="0" hidden="1"/>
    <cacheHierarchy uniqueName="[Measures].[__No measures defined]" caption="__No measures defined" measure="1" displayFolder="" count="0" hidden="1"/>
    <cacheHierarchy uniqueName="[Measures].[Count of Name]" caption="Count of Name" measure="1" displayFolder="" measureGroup="tblInventory"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blInventory" uniqueName="[tblInventory]" caption="tblInventory"/>
  </dimensions>
  <measureGroups count="2">
    <measureGroup name="Range" caption="Range"/>
    <measureGroup name="tblInventory" caption="tblInventory"/>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ompact Printer Air Advanced Digital"/>
    <x v="0"/>
    <x v="0"/>
    <n v="265"/>
    <s v="USD"/>
    <n v="774"/>
    <n v="2091465262179"/>
    <s v="ForestGreen"/>
    <s v="Large"/>
    <s v="Pre-Order"/>
    <x v="0"/>
    <n v="205110"/>
    <s v="OK"/>
    <x v="0"/>
    <n v="2"/>
  </r>
  <r>
    <s v="Tablet"/>
    <x v="1"/>
    <x v="1"/>
    <n v="502"/>
    <s v="USD"/>
    <n v="81"/>
    <n v="5286196620740"/>
    <s v="Black"/>
    <s v="8x10 in"/>
    <s v="In Stock"/>
    <x v="1"/>
    <n v="40662"/>
    <s v="Low"/>
    <x v="1"/>
    <n v="3"/>
  </r>
  <r>
    <s v="Smart Blender Cooker"/>
    <x v="2"/>
    <x v="2"/>
    <n v="227"/>
    <s v="USD"/>
    <n v="726"/>
    <n v="1282898648918"/>
    <s v="SlateGray"/>
    <s v="XS"/>
    <s v="In Stock"/>
    <x v="0"/>
    <n v="164802"/>
    <s v="OK"/>
    <x v="1"/>
    <n v="2"/>
  </r>
  <r>
    <s v="Advanced Router Rechargeable"/>
    <x v="3"/>
    <x v="2"/>
    <n v="121"/>
    <s v="USD"/>
    <n v="896"/>
    <n v="3879177514583"/>
    <s v="PaleGreen"/>
    <s v="L"/>
    <s v="Discontinued"/>
    <x v="2"/>
    <n v="108416"/>
    <s v="OK"/>
    <x v="2"/>
    <n v="1"/>
  </r>
  <r>
    <s v="Portable Mouse Monitor Phone"/>
    <x v="4"/>
    <x v="3"/>
    <n v="1"/>
    <s v="USD"/>
    <n v="925"/>
    <n v="9055773261265"/>
    <s v="SeaShell"/>
    <s v="100x200 mm"/>
    <s v="Discontinued"/>
    <x v="2"/>
    <n v="925"/>
    <s v="OK"/>
    <x v="2"/>
    <n v="1"/>
  </r>
  <r>
    <s v="Radio"/>
    <x v="5"/>
    <x v="4"/>
    <n v="426"/>
    <s v="USD"/>
    <n v="549"/>
    <n v="1150028980156"/>
    <s v="CornflowerBlue"/>
    <s v="30x40 cm"/>
    <s v="Pre-Order"/>
    <x v="0"/>
    <n v="233874"/>
    <s v="OK"/>
    <x v="0"/>
    <n v="2"/>
  </r>
  <r>
    <s v="Ultra Projector Oven Thermostat Prime Advanced"/>
    <x v="6"/>
    <x v="5"/>
    <n v="68"/>
    <s v="USD"/>
    <n v="870"/>
    <n v="5029747624534"/>
    <s v="Purple"/>
    <s v="S"/>
    <s v="Discontinued"/>
    <x v="2"/>
    <n v="59160"/>
    <s v="OK"/>
    <x v="2"/>
    <n v="1"/>
  </r>
  <r>
    <s v="Webcam Stove Grill"/>
    <x v="7"/>
    <x v="6"/>
    <n v="159"/>
    <s v="USD"/>
    <n v="584"/>
    <n v="9883725074294"/>
    <s v="MediumOrchid"/>
    <s v="8x10 in"/>
    <s v="Pre-Order"/>
    <x v="2"/>
    <n v="92856"/>
    <s v="OK"/>
    <x v="0"/>
    <n v="1"/>
  </r>
  <r>
    <s v="Eco Radio"/>
    <x v="8"/>
    <x v="4"/>
    <n v="454"/>
    <s v="USD"/>
    <n v="499"/>
    <n v="1773215338624"/>
    <s v="DimGray"/>
    <s v="Medium"/>
    <s v="Pre-Order"/>
    <x v="0"/>
    <n v="226546"/>
    <s v="OK"/>
    <x v="0"/>
    <n v="2"/>
  </r>
  <r>
    <s v="Ultra Powerbank Brush Charger Max"/>
    <x v="9"/>
    <x v="7"/>
    <n v="845"/>
    <s v="USD"/>
    <n v="564"/>
    <n v="4877111475333"/>
    <s v="Silver"/>
    <s v="Extra Large"/>
    <s v="Discontinued"/>
    <x v="1"/>
    <n v="476580"/>
    <s v="OK"/>
    <x v="2"/>
    <n v="3"/>
  </r>
  <r>
    <s v="Wireless Dock"/>
    <x v="10"/>
    <x v="8"/>
    <n v="257"/>
    <s v="USD"/>
    <n v="168"/>
    <n v="9680811891595"/>
    <s v="Wheat"/>
    <s v="Extra Large"/>
    <s v="Pre-Order"/>
    <x v="0"/>
    <n v="43176"/>
    <s v="OK"/>
    <x v="0"/>
    <n v="2"/>
  </r>
  <r>
    <s v="Fast Camera Router Fan Smart"/>
    <x v="11"/>
    <x v="9"/>
    <n v="221"/>
    <s v="USD"/>
    <n v="672"/>
    <n v="8567222480604"/>
    <s v="MidnightBlue"/>
    <s v="Medium"/>
    <s v="Pre-Order"/>
    <x v="0"/>
    <n v="148512"/>
    <s v="OK"/>
    <x v="0"/>
    <n v="2"/>
  </r>
  <r>
    <s v="Heater Radio"/>
    <x v="12"/>
    <x v="10"/>
    <n v="689"/>
    <s v="USD"/>
    <n v="156"/>
    <n v="5686660235911"/>
    <s v="Orange"/>
    <s v="L"/>
    <s v="Pre-Order"/>
    <x v="1"/>
    <n v="107484"/>
    <s v="OK"/>
    <x v="0"/>
    <n v="3"/>
  </r>
  <r>
    <s v="Smart Trimmer Webcam Heater"/>
    <x v="13"/>
    <x v="6"/>
    <n v="279"/>
    <s v="USD"/>
    <n v="818"/>
    <n v="1941032767914"/>
    <s v="Gainsboro"/>
    <s v="XXL"/>
    <s v="Pre-Order"/>
    <x v="0"/>
    <n v="228222"/>
    <s v="OK"/>
    <x v="0"/>
    <n v="2"/>
  </r>
  <r>
    <s v="Webcam Dock Heater"/>
    <x v="14"/>
    <x v="9"/>
    <n v="101"/>
    <s v="USD"/>
    <n v="159"/>
    <n v="1438856474369"/>
    <s v="Sienna"/>
    <s v="30x40 cm"/>
    <s v="Pre-Order"/>
    <x v="2"/>
    <n v="16059"/>
    <s v="OK"/>
    <x v="0"/>
    <n v="1"/>
  </r>
  <r>
    <s v="Automatic Watch Lite Sense"/>
    <x v="15"/>
    <x v="11"/>
    <n v="316"/>
    <s v="USD"/>
    <n v="329"/>
    <n v="3500722785805"/>
    <s v="Tan"/>
    <s v="5x7 in"/>
    <s v="limited_stock"/>
    <x v="0"/>
    <n v="103964"/>
    <s v="OK"/>
    <x v="2"/>
    <n v="2"/>
  </r>
  <r>
    <s v="Eco Iron Monitor Air"/>
    <x v="16"/>
    <x v="6"/>
    <n v="982"/>
    <s v="USD"/>
    <n v="47"/>
    <n v="7887280730963"/>
    <s v="OliveDrab"/>
    <s v="XL"/>
    <s v="out_of_stock"/>
    <x v="1"/>
    <n v="46154"/>
    <s v="Low"/>
    <x v="2"/>
    <n v="3"/>
  </r>
  <r>
    <s v="Digital Tablet Router Printer Lite"/>
    <x v="17"/>
    <x v="8"/>
    <n v="3"/>
    <s v="USD"/>
    <n v="732"/>
    <n v="4170125892616"/>
    <s v="LemonChiffon"/>
    <s v="10x10 cm"/>
    <s v="backorder"/>
    <x v="2"/>
    <n v="2196"/>
    <s v="OK"/>
    <x v="2"/>
    <n v="1"/>
  </r>
  <r>
    <s v="Eco Freezer Powerbank Watch"/>
    <x v="18"/>
    <x v="9"/>
    <n v="340"/>
    <s v="USD"/>
    <n v="618"/>
    <n v="6340907128242"/>
    <s v="Cyan"/>
    <s v="S"/>
    <s v="limited_stock"/>
    <x v="0"/>
    <n v="210120"/>
    <s v="OK"/>
    <x v="2"/>
    <n v="2"/>
  </r>
  <r>
    <s v="Cooler Fan"/>
    <x v="19"/>
    <x v="12"/>
    <n v="529"/>
    <s v="USD"/>
    <n v="844"/>
    <n v="267078141619"/>
    <s v="Bisque"/>
    <s v="XS"/>
    <s v="backorder"/>
    <x v="1"/>
    <n v="446476"/>
    <s v="OK"/>
    <x v="2"/>
    <n v="3"/>
  </r>
  <r>
    <s v="Portable Camera Plus Air Ultra"/>
    <x v="20"/>
    <x v="13"/>
    <n v="197"/>
    <s v="USD"/>
    <n v="163"/>
    <n v="963840013930"/>
    <s v="Magenta"/>
    <s v="L"/>
    <s v="In Stock"/>
    <x v="2"/>
    <n v="32111"/>
    <s v="OK"/>
    <x v="1"/>
    <n v="1"/>
  </r>
  <r>
    <s v="Wireless Powerbank 360 Advanced Ultra"/>
    <x v="21"/>
    <x v="14"/>
    <n v="677"/>
    <s v="USD"/>
    <n v="418"/>
    <n v="3918763032312"/>
    <s v="Beige"/>
    <s v="M"/>
    <s v="out_of_stock"/>
    <x v="1"/>
    <n v="282986"/>
    <s v="OK"/>
    <x v="2"/>
    <n v="3"/>
  </r>
  <r>
    <s v="Rechargeable Lamp Speakerphone Headphones"/>
    <x v="22"/>
    <x v="4"/>
    <n v="664"/>
    <s v="USD"/>
    <n v="577"/>
    <n v="1824359393441"/>
    <s v="DarkBlue"/>
    <s v="L"/>
    <s v="Pre-Order"/>
    <x v="1"/>
    <n v="383128"/>
    <s v="OK"/>
    <x v="0"/>
    <n v="3"/>
  </r>
  <r>
    <s v="Mini Scooter Microphone"/>
    <x v="23"/>
    <x v="15"/>
    <n v="784"/>
    <s v="USD"/>
    <n v="510"/>
    <n v="9839666739792"/>
    <s v="DimGray"/>
    <s v="L"/>
    <s v="backorder"/>
    <x v="1"/>
    <n v="399840"/>
    <s v="OK"/>
    <x v="2"/>
    <n v="3"/>
  </r>
  <r>
    <s v="Rechargeable Webcam Stove Grill"/>
    <x v="24"/>
    <x v="8"/>
    <n v="900"/>
    <s v="USD"/>
    <n v="623"/>
    <n v="6501687247749"/>
    <s v="PaleGreen"/>
    <s v="5x7 in"/>
    <s v="out_of_stock"/>
    <x v="1"/>
    <n v="560700"/>
    <s v="OK"/>
    <x v="2"/>
    <n v="3"/>
  </r>
  <r>
    <s v="Mini Iron Drone Wireless Pro"/>
    <x v="25"/>
    <x v="10"/>
    <n v="909"/>
    <s v="USD"/>
    <n v="797"/>
    <n v="9496081864722"/>
    <s v="CadetBlue"/>
    <s v="XXL"/>
    <s v="limited_stock"/>
    <x v="1"/>
    <n v="724473"/>
    <s v="OK"/>
    <x v="2"/>
    <n v="3"/>
  </r>
  <r>
    <s v="Portable Freezer Phone Automatic Smart"/>
    <x v="26"/>
    <x v="6"/>
    <n v="350"/>
    <s v="USD"/>
    <n v="756"/>
    <n v="3486711401836"/>
    <s v="Snow"/>
    <s v="XL"/>
    <s v="Pre-Order"/>
    <x v="0"/>
    <n v="264600"/>
    <s v="OK"/>
    <x v="0"/>
    <n v="2"/>
  </r>
  <r>
    <s v="Wireless Webcam Stove Grill"/>
    <x v="27"/>
    <x v="16"/>
    <n v="858"/>
    <s v="USD"/>
    <n v="912"/>
    <n v="7097613907430"/>
    <s v="LightSalmon"/>
    <s v="50x70 cm"/>
    <s v="limited_stock"/>
    <x v="1"/>
    <n v="782496"/>
    <s v="OK"/>
    <x v="2"/>
    <n v="3"/>
  </r>
  <r>
    <s v="Clock Brush"/>
    <x v="28"/>
    <x v="17"/>
    <n v="985"/>
    <s v="USD"/>
    <n v="180"/>
    <n v="8301096575048"/>
    <s v="SaddleBrown"/>
    <s v="Extra Large"/>
    <s v="In Stock"/>
    <x v="1"/>
    <n v="177300"/>
    <s v="OK"/>
    <x v="1"/>
    <n v="3"/>
  </r>
  <r>
    <s v="Keyboard Toaster Monitor"/>
    <x v="29"/>
    <x v="3"/>
    <n v="576"/>
    <s v="USD"/>
    <n v="988"/>
    <n v="6639325474032"/>
    <s v="DarkSlateGray"/>
    <s v="L"/>
    <s v="Pre-Order"/>
    <x v="1"/>
    <n v="569088"/>
    <s v="OK"/>
    <x v="0"/>
    <n v="3"/>
  </r>
  <r>
    <s v="Silent Printer Fan Shaver"/>
    <x v="30"/>
    <x v="18"/>
    <n v="102"/>
    <s v="USD"/>
    <n v="669"/>
    <n v="5564792899662"/>
    <s v="MediumSpringGreen"/>
    <s v="L"/>
    <s v="limited_stock"/>
    <x v="2"/>
    <n v="68238"/>
    <s v="OK"/>
    <x v="2"/>
    <n v="1"/>
  </r>
  <r>
    <s v="Wireless Scooter Clean Mini"/>
    <x v="31"/>
    <x v="19"/>
    <n v="283"/>
    <s v="USD"/>
    <n v="343"/>
    <n v="9921752342730"/>
    <s v="MintCream"/>
    <s v="S"/>
    <s v="Pre-Order"/>
    <x v="0"/>
    <n v="97069"/>
    <s v="OK"/>
    <x v="0"/>
    <n v="2"/>
  </r>
  <r>
    <s v="Advanced Microphone Cooler Eco"/>
    <x v="32"/>
    <x v="12"/>
    <n v="904"/>
    <s v="USD"/>
    <n v="532"/>
    <n v="7107438924403"/>
    <s v="LightCyan"/>
    <s v="Extra Large"/>
    <s v="limited_stock"/>
    <x v="1"/>
    <n v="480928"/>
    <s v="OK"/>
    <x v="2"/>
    <n v="3"/>
  </r>
  <r>
    <s v="Automatic Brush Fast Eco"/>
    <x v="33"/>
    <x v="3"/>
    <n v="407"/>
    <s v="USD"/>
    <n v="285"/>
    <n v="2327483415120"/>
    <s v="SeaGreen"/>
    <s v="8x10 in"/>
    <s v="out_of_stock"/>
    <x v="0"/>
    <n v="115995"/>
    <s v="OK"/>
    <x v="2"/>
    <n v="2"/>
  </r>
  <r>
    <s v="Premium Bicycle Microphone"/>
    <x v="34"/>
    <x v="1"/>
    <n v="480"/>
    <s v="USD"/>
    <n v="364"/>
    <n v="6209821998907"/>
    <s v="AliceBlue"/>
    <s v="Extra Large"/>
    <s v="Discontinued"/>
    <x v="0"/>
    <n v="174720"/>
    <s v="OK"/>
    <x v="2"/>
    <n v="2"/>
  </r>
  <r>
    <s v="Smart Phone Scooter Clean"/>
    <x v="35"/>
    <x v="13"/>
    <n v="635"/>
    <s v="USD"/>
    <n v="727"/>
    <n v="7883295446066"/>
    <s v="MediumVioletRed"/>
    <s v="10x10 cm"/>
    <s v="backorder"/>
    <x v="1"/>
    <n v="461645"/>
    <s v="OK"/>
    <x v="2"/>
    <n v="3"/>
  </r>
  <r>
    <s v="Bicycle"/>
    <x v="36"/>
    <x v="12"/>
    <n v="234"/>
    <s v="USD"/>
    <n v="394"/>
    <n v="7670612815694"/>
    <s v="White"/>
    <s v="10x10 cm"/>
    <s v="backorder"/>
    <x v="0"/>
    <n v="92196"/>
    <s v="OK"/>
    <x v="2"/>
    <n v="2"/>
  </r>
  <r>
    <s v="Ultra Dock Trimmer Automatic Edge"/>
    <x v="37"/>
    <x v="3"/>
    <n v="640"/>
    <s v="USD"/>
    <n v="780"/>
    <n v="2837107354495"/>
    <s v="LightBlue"/>
    <s v="5x7 in"/>
    <s v="Discontinued"/>
    <x v="1"/>
    <n v="499200"/>
    <s v="OK"/>
    <x v="2"/>
    <n v="3"/>
  </r>
  <r>
    <s v="Wireless Tablet Router Printer Wireless Premium Air"/>
    <x v="38"/>
    <x v="18"/>
    <n v="781"/>
    <s v="USD"/>
    <n v="947"/>
    <n v="8247903213713"/>
    <s v="BlanchedAlmond"/>
    <s v="XL"/>
    <s v="out_of_stock"/>
    <x v="1"/>
    <n v="739607"/>
    <s v="OK"/>
    <x v="2"/>
    <n v="3"/>
  </r>
  <r>
    <s v="Clean Printer Advanced Premium Sense"/>
    <x v="39"/>
    <x v="20"/>
    <n v="913"/>
    <s v="USD"/>
    <n v="820"/>
    <n v="5234087663802"/>
    <s v="Moccasin"/>
    <s v="Small"/>
    <s v="Discontinued"/>
    <x v="1"/>
    <n v="748660"/>
    <s v="OK"/>
    <x v="2"/>
    <n v="3"/>
  </r>
  <r>
    <s v="Silent Dock Fast"/>
    <x v="40"/>
    <x v="21"/>
    <n v="100"/>
    <s v="USD"/>
    <n v="802"/>
    <n v="938364240247"/>
    <s v="CadetBlue"/>
    <s v="M"/>
    <s v="limited_stock"/>
    <x v="2"/>
    <n v="80200"/>
    <s v="OK"/>
    <x v="2"/>
    <n v="1"/>
  </r>
  <r>
    <s v="Ultra Speakerphone Oven Go Smart X"/>
    <x v="41"/>
    <x v="22"/>
    <n v="999"/>
    <s v="USD"/>
    <n v="853"/>
    <n v="450118214736"/>
    <s v="MediumOrchid"/>
    <s v="12x18 in"/>
    <s v="Pre-Order"/>
    <x v="1"/>
    <n v="852147"/>
    <s v="OK"/>
    <x v="0"/>
    <n v="3"/>
  </r>
  <r>
    <s v="Rechargeable Projector Pro"/>
    <x v="42"/>
    <x v="23"/>
    <n v="935"/>
    <s v="USD"/>
    <n v="55"/>
    <n v="655296358115"/>
    <s v="SlateBlue"/>
    <s v="XL"/>
    <s v="limited_stock"/>
    <x v="1"/>
    <n v="51425"/>
    <s v="Low"/>
    <x v="2"/>
    <n v="3"/>
  </r>
  <r>
    <s v="Eco Vacuum"/>
    <x v="43"/>
    <x v="8"/>
    <n v="259"/>
    <s v="USD"/>
    <n v="668"/>
    <n v="8611986118980"/>
    <s v="LightCoral"/>
    <s v="5x7 in"/>
    <s v="In Stock"/>
    <x v="0"/>
    <n v="173012"/>
    <s v="OK"/>
    <x v="1"/>
    <n v="2"/>
  </r>
  <r>
    <s v="Smart Grill Tablet Fridge Go Smart Smart"/>
    <x v="44"/>
    <x v="7"/>
    <n v="488"/>
    <s v="USD"/>
    <n v="966"/>
    <n v="9005775281402"/>
    <s v="Cornsilk"/>
    <s v="10x10 cm"/>
    <s v="out_of_stock"/>
    <x v="0"/>
    <n v="471408"/>
    <s v="OK"/>
    <x v="2"/>
    <n v="2"/>
  </r>
  <r>
    <s v="Digital Stove Silent Pro"/>
    <x v="45"/>
    <x v="8"/>
    <n v="161"/>
    <s v="USD"/>
    <n v="349"/>
    <n v="5367012957872"/>
    <s v="OrangeRed"/>
    <s v="Extra Large"/>
    <s v="limited_stock"/>
    <x v="2"/>
    <n v="56189"/>
    <s v="OK"/>
    <x v="2"/>
    <n v="1"/>
  </r>
  <r>
    <s v="Portable Powerbank X Air"/>
    <x v="46"/>
    <x v="24"/>
    <n v="599"/>
    <s v="USD"/>
    <n v="263"/>
    <n v="6854117854742"/>
    <s v="Moccasin"/>
    <s v="Large"/>
    <s v="Discontinued"/>
    <x v="1"/>
    <n v="157537"/>
    <s v="OK"/>
    <x v="2"/>
    <n v="3"/>
  </r>
  <r>
    <s v="Clock"/>
    <x v="47"/>
    <x v="11"/>
    <n v="731"/>
    <s v="USD"/>
    <n v="664"/>
    <n v="1382809012286"/>
    <s v="FloralWhite"/>
    <s v="S"/>
    <s v="limited_stock"/>
    <x v="1"/>
    <n v="485384"/>
    <s v="OK"/>
    <x v="2"/>
    <n v="3"/>
  </r>
  <r>
    <s v="Radio Treadmill"/>
    <x v="48"/>
    <x v="22"/>
    <n v="511"/>
    <s v="USD"/>
    <n v="395"/>
    <n v="5461960384619"/>
    <s v="Violet"/>
    <s v="XL"/>
    <s v="Discontinued"/>
    <x v="1"/>
    <n v="201845"/>
    <s v="OK"/>
    <x v="2"/>
    <n v="3"/>
  </r>
  <r>
    <s v="Ultra Cooler Treadmill Touch Pro Ultra"/>
    <x v="49"/>
    <x v="19"/>
    <n v="214"/>
    <s v="USD"/>
    <n v="574"/>
    <n v="3625664059934"/>
    <s v="NavajoWhite"/>
    <s v="XXL"/>
    <s v="Pre-Order"/>
    <x v="0"/>
    <n v="122836"/>
    <s v="OK"/>
    <x v="0"/>
    <n v="2"/>
  </r>
  <r>
    <s v="Mini Fridge Camera"/>
    <x v="50"/>
    <x v="7"/>
    <n v="777"/>
    <s v="USD"/>
    <n v="832"/>
    <n v="4894233116968"/>
    <s v="PaleGoldenRod"/>
    <s v="Extra Large"/>
    <s v="In Stock"/>
    <x v="1"/>
    <n v="646464"/>
    <s v="OK"/>
    <x v="1"/>
    <n v="3"/>
  </r>
  <r>
    <s v="Rechargeable Tablet Plus Portable Mini"/>
    <x v="51"/>
    <x v="19"/>
    <n v="820"/>
    <s v="USD"/>
    <n v="535"/>
    <n v="8183922928019"/>
    <s v="Cyan"/>
    <s v="100x200 mm"/>
    <s v="In Stock"/>
    <x v="1"/>
    <n v="438700"/>
    <s v="OK"/>
    <x v="1"/>
    <n v="3"/>
  </r>
  <r>
    <s v="Tablet"/>
    <x v="52"/>
    <x v="25"/>
    <n v="408"/>
    <s v="USD"/>
    <n v="922"/>
    <n v="8183313115592"/>
    <s v="Chocolate"/>
    <s v="Medium"/>
    <s v="backorder"/>
    <x v="0"/>
    <n v="376176"/>
    <s v="OK"/>
    <x v="2"/>
    <n v="2"/>
  </r>
  <r>
    <s v="Wireless Light Toaster Lite Touch Eco"/>
    <x v="53"/>
    <x v="14"/>
    <n v="791"/>
    <s v="USD"/>
    <n v="827"/>
    <n v="3057639268476"/>
    <s v="Fuchsia"/>
    <s v="50x70 cm"/>
    <s v="In Stock"/>
    <x v="1"/>
    <n v="654157"/>
    <s v="OK"/>
    <x v="1"/>
    <n v="3"/>
  </r>
  <r>
    <s v="Scooter"/>
    <x v="54"/>
    <x v="26"/>
    <n v="370"/>
    <s v="USD"/>
    <n v="601"/>
    <n v="1974896712011"/>
    <s v="DarkOrchid"/>
    <s v="L"/>
    <s v="backorder"/>
    <x v="0"/>
    <n v="222370"/>
    <s v="OK"/>
    <x v="2"/>
    <n v="2"/>
  </r>
  <r>
    <s v="Advanced Camera Heater Webcam X Ultra Prime"/>
    <x v="55"/>
    <x v="22"/>
    <n v="224"/>
    <s v="USD"/>
    <n v="372"/>
    <n v="983367163970"/>
    <s v="Peru"/>
    <s v="50x70 cm"/>
    <s v="Discontinued"/>
    <x v="0"/>
    <n v="83328"/>
    <s v="OK"/>
    <x v="2"/>
    <n v="2"/>
  </r>
  <r>
    <s v="Ultra Keyboard Compact Eco"/>
    <x v="56"/>
    <x v="0"/>
    <n v="514"/>
    <s v="USD"/>
    <n v="491"/>
    <n v="8481605893389"/>
    <s v="LightGray"/>
    <s v="8x10 in"/>
    <s v="backorder"/>
    <x v="1"/>
    <n v="252374"/>
    <s v="OK"/>
    <x v="2"/>
    <n v="3"/>
  </r>
  <r>
    <s v="Portable Scale Speaker Powerbank Clean"/>
    <x v="57"/>
    <x v="13"/>
    <n v="689"/>
    <s v="USD"/>
    <n v="332"/>
    <n v="5175038823985"/>
    <s v="PowderBlue"/>
    <s v="Small"/>
    <s v="backorder"/>
    <x v="1"/>
    <n v="228748"/>
    <s v="OK"/>
    <x v="2"/>
    <n v="3"/>
  </r>
  <r>
    <s v="Oven Speaker Fan"/>
    <x v="58"/>
    <x v="27"/>
    <n v="489"/>
    <s v="USD"/>
    <n v="423"/>
    <n v="2567562782853"/>
    <s v="GoldenRod"/>
    <s v="Small"/>
    <s v="Pre-Order"/>
    <x v="0"/>
    <n v="206847"/>
    <s v="OK"/>
    <x v="0"/>
    <n v="2"/>
  </r>
  <r>
    <s v="Automatic Speaker Router Lamp Prime"/>
    <x v="59"/>
    <x v="15"/>
    <n v="621"/>
    <s v="USD"/>
    <n v="667"/>
    <n v="6744198567221"/>
    <s v="FireBrick"/>
    <s v="5x7 in"/>
    <s v="In Stock"/>
    <x v="1"/>
    <n v="414207"/>
    <s v="OK"/>
    <x v="1"/>
    <n v="3"/>
  </r>
  <r>
    <s v="Smart Webcam Projector Lock"/>
    <x v="60"/>
    <x v="27"/>
    <n v="440"/>
    <s v="USD"/>
    <n v="973"/>
    <n v="4811928042234"/>
    <s v="SteelBlue"/>
    <s v="Medium"/>
    <s v="In Stock"/>
    <x v="0"/>
    <n v="428120"/>
    <s v="OK"/>
    <x v="1"/>
    <n v="2"/>
  </r>
  <r>
    <s v="Fast Fan"/>
    <x v="61"/>
    <x v="9"/>
    <n v="982"/>
    <s v="USD"/>
    <n v="804"/>
    <n v="3388615003133"/>
    <s v="DarkOrchid"/>
    <s v="100x200 mm"/>
    <s v="backorder"/>
    <x v="1"/>
    <n v="789528"/>
    <s v="OK"/>
    <x v="2"/>
    <n v="3"/>
  </r>
  <r>
    <s v="Automatic Cooler Edge"/>
    <x v="62"/>
    <x v="25"/>
    <n v="124"/>
    <s v="USD"/>
    <n v="513"/>
    <n v="6261793125392"/>
    <s v="LimeGreen"/>
    <s v="50x70 cm"/>
    <s v="Pre-Order"/>
    <x v="2"/>
    <n v="63612"/>
    <s v="OK"/>
    <x v="0"/>
    <n v="1"/>
  </r>
  <r>
    <s v="Advanced Freezer Advanced Advanced"/>
    <x v="63"/>
    <x v="22"/>
    <n v="489"/>
    <s v="USD"/>
    <n v="561"/>
    <n v="6474143371206"/>
    <s v="Tomato"/>
    <s v="S"/>
    <s v="Pre-Order"/>
    <x v="0"/>
    <n v="274329"/>
    <s v="OK"/>
    <x v="0"/>
    <n v="2"/>
  </r>
  <r>
    <s v="Silent Trimmer Shaver Fast"/>
    <x v="64"/>
    <x v="12"/>
    <n v="130"/>
    <s v="USD"/>
    <n v="876"/>
    <n v="4089415274929"/>
    <s v="DarkSlateGray"/>
    <s v="5x7 in"/>
    <s v="In Stock"/>
    <x v="2"/>
    <n v="113880"/>
    <s v="OK"/>
    <x v="1"/>
    <n v="1"/>
  </r>
  <r>
    <s v="Treadmill"/>
    <x v="65"/>
    <x v="13"/>
    <n v="731"/>
    <s v="USD"/>
    <n v="744"/>
    <n v="4598541150958"/>
    <s v="Cyan"/>
    <s v="5x7 in"/>
    <s v="out_of_stock"/>
    <x v="1"/>
    <n v="543864"/>
    <s v="OK"/>
    <x v="2"/>
    <n v="3"/>
  </r>
  <r>
    <s v="Mini Charger Lock Oven Sense Sense"/>
    <x v="66"/>
    <x v="20"/>
    <n v="750"/>
    <s v="USD"/>
    <n v="623"/>
    <n v="9282813513019"/>
    <s v="Olive"/>
    <s v="12x18 in"/>
    <s v="In Stock"/>
    <x v="1"/>
    <n v="467250"/>
    <s v="OK"/>
    <x v="1"/>
    <n v="3"/>
  </r>
  <r>
    <s v="Thermostat Trimmer"/>
    <x v="67"/>
    <x v="28"/>
    <n v="206"/>
    <s v="USD"/>
    <n v="677"/>
    <n v="8282848236311"/>
    <s v="MidnightBlue"/>
    <s v="8x10 in"/>
    <s v="Discontinued"/>
    <x v="0"/>
    <n v="139462"/>
    <s v="OK"/>
    <x v="2"/>
    <n v="2"/>
  </r>
  <r>
    <s v="Clean Iron Premium Air Wireless"/>
    <x v="68"/>
    <x v="25"/>
    <n v="293"/>
    <s v="USD"/>
    <n v="700"/>
    <n v="7935749142557"/>
    <s v="GhostWhite"/>
    <s v="XXL"/>
    <s v="out_of_stock"/>
    <x v="0"/>
    <n v="205100"/>
    <s v="OK"/>
    <x v="2"/>
    <n v="2"/>
  </r>
  <r>
    <s v="Compact Mouse Mouse Router Mini"/>
    <x v="69"/>
    <x v="29"/>
    <n v="5"/>
    <s v="USD"/>
    <n v="247"/>
    <n v="252926529077"/>
    <s v="PapayaWhip"/>
    <s v="10x10 cm"/>
    <s v="limited_stock"/>
    <x v="2"/>
    <n v="1235"/>
    <s v="OK"/>
    <x v="2"/>
    <n v="1"/>
  </r>
  <r>
    <s v="Premium Lock Mini Advanced"/>
    <x v="70"/>
    <x v="6"/>
    <n v="12"/>
    <s v="USD"/>
    <n v="439"/>
    <n v="3997003361528"/>
    <s v="Plum"/>
    <s v="XS"/>
    <s v="Pre-Order"/>
    <x v="2"/>
    <n v="5268"/>
    <s v="OK"/>
    <x v="0"/>
    <n v="1"/>
  </r>
  <r>
    <s v="Silent Webcam Webcam Treadmill Sense Portable Advanced"/>
    <x v="71"/>
    <x v="30"/>
    <n v="148"/>
    <s v="USD"/>
    <n v="650"/>
    <n v="6908065460286"/>
    <s v="Aqua"/>
    <s v="M"/>
    <s v="backorder"/>
    <x v="2"/>
    <n v="96200"/>
    <s v="OK"/>
    <x v="2"/>
    <n v="1"/>
  </r>
  <r>
    <s v="Compact Thermostat Oven"/>
    <x v="72"/>
    <x v="31"/>
    <n v="685"/>
    <s v="USD"/>
    <n v="747"/>
    <n v="7695934105636"/>
    <s v="SaddleBrown"/>
    <s v="30x40 cm"/>
    <s v="In Stock"/>
    <x v="1"/>
    <n v="511695"/>
    <s v="OK"/>
    <x v="1"/>
    <n v="3"/>
  </r>
  <r>
    <s v="Wireless Watch Tablet Printer Automatic Eco Sense"/>
    <x v="73"/>
    <x v="29"/>
    <n v="59"/>
    <s v="USD"/>
    <n v="169"/>
    <n v="1089969929675"/>
    <s v="Sienna"/>
    <s v="Large"/>
    <s v="out_of_stock"/>
    <x v="2"/>
    <n v="9971"/>
    <s v="OK"/>
    <x v="2"/>
    <n v="1"/>
  </r>
  <r>
    <s v="Automatic Blender"/>
    <x v="74"/>
    <x v="23"/>
    <n v="630"/>
    <s v="USD"/>
    <n v="438"/>
    <n v="310774792552"/>
    <s v="LightGoldenRodYellow"/>
    <s v="8x10 in"/>
    <s v="backorder"/>
    <x v="1"/>
    <n v="275940"/>
    <s v="OK"/>
    <x v="2"/>
    <n v="3"/>
  </r>
  <r>
    <s v="Rechargeable Webcam Dock Heater"/>
    <x v="75"/>
    <x v="10"/>
    <n v="800"/>
    <s v="USD"/>
    <n v="151"/>
    <n v="1340784358003"/>
    <s v="Brown"/>
    <s v="XXL"/>
    <s v="In Stock"/>
    <x v="1"/>
    <n v="120800"/>
    <s v="OK"/>
    <x v="1"/>
    <n v="3"/>
  </r>
  <r>
    <s v="Clean Toaster Oven Air Touch"/>
    <x v="76"/>
    <x v="3"/>
    <n v="365"/>
    <s v="USD"/>
    <n v="71"/>
    <n v="7806787405877"/>
    <s v="LimeGreen"/>
    <s v="Medium"/>
    <s v="Pre-Order"/>
    <x v="0"/>
    <n v="25915"/>
    <s v="Low"/>
    <x v="0"/>
    <n v="2"/>
  </r>
  <r>
    <s v="Brush"/>
    <x v="77"/>
    <x v="14"/>
    <n v="273"/>
    <s v="USD"/>
    <n v="623"/>
    <n v="168419438521"/>
    <s v="RoyalBlue"/>
    <s v="S"/>
    <s v="In Stock"/>
    <x v="0"/>
    <n v="170079"/>
    <s v="OK"/>
    <x v="1"/>
    <n v="2"/>
  </r>
  <r>
    <s v="Portable Kettle"/>
    <x v="78"/>
    <x v="31"/>
    <n v="50"/>
    <s v="USD"/>
    <n v="413"/>
    <n v="445370808496"/>
    <s v="MediumAquaMarine"/>
    <s v="L"/>
    <s v="Pre-Order"/>
    <x v="2"/>
    <n v="20650"/>
    <s v="OK"/>
    <x v="0"/>
    <n v="1"/>
  </r>
  <r>
    <s v="Rechargeable Brush Compact"/>
    <x v="79"/>
    <x v="6"/>
    <n v="748"/>
    <s v="USD"/>
    <n v="326"/>
    <n v="6855062072649"/>
    <s v="Sienna"/>
    <s v="S"/>
    <s v="out_of_stock"/>
    <x v="1"/>
    <n v="243848"/>
    <s v="OK"/>
    <x v="2"/>
    <n v="3"/>
  </r>
  <r>
    <s v="Fast Heater Cooker Compact Silent"/>
    <x v="80"/>
    <x v="30"/>
    <n v="367"/>
    <s v="USD"/>
    <n v="19"/>
    <n v="3868467036959"/>
    <s v="Orchid"/>
    <s v="8x10 in"/>
    <s v="In Stock"/>
    <x v="0"/>
    <n v="6973"/>
    <s v="Low"/>
    <x v="1"/>
    <n v="2"/>
  </r>
  <r>
    <s v="Mini Drone X Portable"/>
    <x v="81"/>
    <x v="0"/>
    <n v="352"/>
    <s v="USD"/>
    <n v="123"/>
    <n v="9437200314292"/>
    <s v="BlueViolet"/>
    <s v="Medium"/>
    <s v="backorder"/>
    <x v="0"/>
    <n v="43296"/>
    <s v="OK"/>
    <x v="2"/>
    <n v="2"/>
  </r>
  <r>
    <s v="Heater Keyboard"/>
    <x v="82"/>
    <x v="22"/>
    <n v="103"/>
    <s v="USD"/>
    <n v="208"/>
    <n v="5328785590239"/>
    <s v="Chocolate"/>
    <s v="Extra Large"/>
    <s v="backorder"/>
    <x v="2"/>
    <n v="21424"/>
    <s v="OK"/>
    <x v="2"/>
    <n v="1"/>
  </r>
  <r>
    <s v="Wireless Fan Thermostat Max Automatic Max"/>
    <x v="83"/>
    <x v="0"/>
    <n v="423"/>
    <s v="USD"/>
    <n v="759"/>
    <n v="1396411470228"/>
    <s v="MidnightBlue"/>
    <s v="5x7 in"/>
    <s v="In Stock"/>
    <x v="0"/>
    <n v="321057"/>
    <s v="OK"/>
    <x v="1"/>
    <n v="2"/>
  </r>
  <r>
    <s v="Fast Keyboard"/>
    <x v="84"/>
    <x v="24"/>
    <n v="998"/>
    <s v="USD"/>
    <n v="10"/>
    <n v="3163238295239"/>
    <s v="Cyan"/>
    <s v="50x70 cm"/>
    <s v="limited_stock"/>
    <x v="1"/>
    <n v="9980"/>
    <s v="Low"/>
    <x v="2"/>
    <n v="3"/>
  </r>
  <r>
    <s v="Ultra Mixer Toaster Toaster Smart"/>
    <x v="85"/>
    <x v="13"/>
    <n v="342"/>
    <s v="USD"/>
    <n v="221"/>
    <n v="4862330962177"/>
    <s v="Tomato"/>
    <s v="S"/>
    <s v="Pre-Order"/>
    <x v="0"/>
    <n v="75582"/>
    <s v="OK"/>
    <x v="0"/>
    <n v="2"/>
  </r>
  <r>
    <s v="Silent Speakerphone Scanner Monitor"/>
    <x v="86"/>
    <x v="19"/>
    <n v="593"/>
    <s v="USD"/>
    <n v="580"/>
    <n v="1710131812265"/>
    <s v="Navy"/>
    <s v="XXL"/>
    <s v="Discontinued"/>
    <x v="1"/>
    <n v="343940"/>
    <s v="OK"/>
    <x v="2"/>
    <n v="3"/>
  </r>
  <r>
    <s v="Silent Scanner Monitor Treadmill"/>
    <x v="87"/>
    <x v="8"/>
    <n v="30"/>
    <s v="USD"/>
    <n v="728"/>
    <n v="1287056757693"/>
    <s v="Wheat"/>
    <s v="10x10 cm"/>
    <s v="Pre-Order"/>
    <x v="2"/>
    <n v="21840"/>
    <s v="OK"/>
    <x v="0"/>
    <n v="1"/>
  </r>
  <r>
    <s v="Fast Vacuum Cooler"/>
    <x v="88"/>
    <x v="18"/>
    <n v="307"/>
    <s v="USD"/>
    <n v="320"/>
    <n v="4874329354658"/>
    <s v="LightSalmon"/>
    <s v="L"/>
    <s v="limited_stock"/>
    <x v="0"/>
    <n v="98240"/>
    <s v="OK"/>
    <x v="2"/>
    <n v="2"/>
  </r>
  <r>
    <s v="Digital Trimmer"/>
    <x v="89"/>
    <x v="5"/>
    <n v="541"/>
    <s v="USD"/>
    <n v="488"/>
    <n v="4147810179628"/>
    <s v="SteelBlue"/>
    <s v="M"/>
    <s v="Pre-Order"/>
    <x v="1"/>
    <n v="264008"/>
    <s v="OK"/>
    <x v="0"/>
    <n v="3"/>
  </r>
  <r>
    <s v="Automatic Trimmer Sense"/>
    <x v="90"/>
    <x v="2"/>
    <n v="405"/>
    <s v="USD"/>
    <n v="950"/>
    <n v="524638185"/>
    <s v="SlateGray"/>
    <s v="8x10 in"/>
    <s v="In Stock"/>
    <x v="0"/>
    <n v="384750"/>
    <s v="OK"/>
    <x v="1"/>
    <n v="2"/>
  </r>
  <r>
    <s v="Portable Scooter Wireless Digital"/>
    <x v="91"/>
    <x v="26"/>
    <n v="519"/>
    <s v="USD"/>
    <n v="495"/>
    <n v="4564280934296"/>
    <s v="DeepSkyBlue"/>
    <s v="Large"/>
    <s v="In Stock"/>
    <x v="1"/>
    <n v="256905"/>
    <s v="OK"/>
    <x v="1"/>
    <n v="3"/>
  </r>
  <r>
    <s v="Fridge Cooker"/>
    <x v="92"/>
    <x v="17"/>
    <n v="393"/>
    <s v="USD"/>
    <n v="499"/>
    <n v="1861389468671"/>
    <s v="Black"/>
    <s v="Small"/>
    <s v="In Stock"/>
    <x v="0"/>
    <n v="196107"/>
    <s v="OK"/>
    <x v="1"/>
    <n v="2"/>
  </r>
  <r>
    <s v="Scanner"/>
    <x v="93"/>
    <x v="9"/>
    <n v="472"/>
    <s v="USD"/>
    <n v="63"/>
    <n v="7794860625802"/>
    <s v="ForestGreen"/>
    <s v="12x18 in"/>
    <s v="backorder"/>
    <x v="0"/>
    <n v="29736"/>
    <s v="Low"/>
    <x v="2"/>
    <n v="2"/>
  </r>
  <r>
    <s v="Ultra Radio Radio"/>
    <x v="94"/>
    <x v="20"/>
    <n v="382"/>
    <s v="USD"/>
    <n v="639"/>
    <n v="3611080124547"/>
    <s v="Aquamarine"/>
    <s v="12x18 in"/>
    <s v="Pre-Order"/>
    <x v="0"/>
    <n v="244098"/>
    <s v="OK"/>
    <x v="0"/>
    <n v="2"/>
  </r>
  <r>
    <s v="Router"/>
    <x v="95"/>
    <x v="5"/>
    <n v="375"/>
    <s v="USD"/>
    <n v="703"/>
    <n v="3330396409604"/>
    <s v="Gainsboro"/>
    <s v="8x10 in"/>
    <s v="limited_stock"/>
    <x v="0"/>
    <n v="263625"/>
    <s v="OK"/>
    <x v="2"/>
    <n v="2"/>
  </r>
  <r>
    <s v="Fast Thermostat Microphone Scooter"/>
    <x v="96"/>
    <x v="25"/>
    <n v="289"/>
    <s v="USD"/>
    <n v="727"/>
    <n v="9265397743935"/>
    <s v="White"/>
    <s v="Extra Large"/>
    <s v="backorder"/>
    <x v="0"/>
    <n v="210103"/>
    <s v="OK"/>
    <x v="2"/>
    <n v="2"/>
  </r>
  <r>
    <s v="Eco Heater Toaster Stove Silent Sense"/>
    <x v="97"/>
    <x v="9"/>
    <n v="232"/>
    <s v="USD"/>
    <n v="998"/>
    <n v="5505866454530"/>
    <s v="OldLace"/>
    <s v="Small"/>
    <s v="limited_stock"/>
    <x v="0"/>
    <n v="231536"/>
    <s v="OK"/>
    <x v="2"/>
    <n v="2"/>
  </r>
  <r>
    <s v="Clean Blender Scale Lite"/>
    <x v="98"/>
    <x v="24"/>
    <n v="241"/>
    <s v="USD"/>
    <n v="391"/>
    <n v="3893594435450"/>
    <s v="Aquamarine"/>
    <s v="5x7 in"/>
    <s v="limited_stock"/>
    <x v="0"/>
    <n v="94231"/>
    <s v="OK"/>
    <x v="2"/>
    <n v="2"/>
  </r>
  <r>
    <s v="Smart Lamp"/>
    <x v="99"/>
    <x v="14"/>
    <n v="71"/>
    <s v="USD"/>
    <n v="518"/>
    <n v="8264263605712"/>
    <s v="Brown"/>
    <s v="Medium"/>
    <s v="limited_stock"/>
    <x v="2"/>
    <n v="36778"/>
    <s v="OK"/>
    <x v="2"/>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ompact Printer Air Advanced Digital"/>
    <x v="0"/>
    <s v="Books &amp; Stationery"/>
    <n v="265"/>
    <s v="USD"/>
    <n v="774"/>
    <n v="2091465262179"/>
    <s v="ForestGreen"/>
    <s v="Large"/>
    <s v="Pre-Order"/>
    <s v="Medium"/>
  </r>
  <r>
    <s v="Tablet"/>
    <x v="1"/>
    <s v="Shoes &amp; Footwear"/>
    <n v="502"/>
    <s v="USD"/>
    <n v="81"/>
    <n v="5286196620740"/>
    <s v="Black"/>
    <s v="8x10 in"/>
    <s v="In Stock"/>
    <s v="High"/>
  </r>
  <r>
    <s v="Smart Blender Cooker"/>
    <x v="2"/>
    <s v="Kitchen Appliances"/>
    <n v="227"/>
    <s v="USD"/>
    <n v="726"/>
    <n v="1282898648918"/>
    <s v="SlateGray"/>
    <s v="XS"/>
    <s v="In Stock"/>
    <s v="Medium"/>
  </r>
  <r>
    <s v="Advanced Router Rechargeable"/>
    <x v="3"/>
    <s v="Kitchen Appliances"/>
    <n v="121"/>
    <s v="USD"/>
    <n v="896"/>
    <n v="3879177514583"/>
    <s v="PaleGreen"/>
    <s v="L"/>
    <s v="Discontinued"/>
    <s v="Low"/>
  </r>
  <r>
    <s v="Portable Mouse Monitor Phone"/>
    <x v="4"/>
    <s v="Kids' Clothing"/>
    <n v="1"/>
    <s v="USD"/>
    <n v="925"/>
    <n v="9055773261265"/>
    <s v="SeaShell"/>
    <s v="100x200 mm"/>
    <s v="Discontinued"/>
    <s v="Low"/>
  </r>
  <r>
    <s v="Radio"/>
    <x v="5"/>
    <s v="Skincare"/>
    <n v="426"/>
    <s v="USD"/>
    <n v="549"/>
    <n v="1150028980156"/>
    <s v="CornflowerBlue"/>
    <s v="30x40 cm"/>
    <s v="Pre-Order"/>
    <s v="Medium"/>
  </r>
  <r>
    <s v="Ultra Projector Oven Thermostat Prime Advanced"/>
    <x v="6"/>
    <s v="Laptops &amp; Computers"/>
    <n v="68"/>
    <s v="USD"/>
    <n v="870"/>
    <n v="5029747624534"/>
    <s v="Purple"/>
    <s v="S"/>
    <s v="Discontinued"/>
    <s v="Low"/>
  </r>
  <r>
    <s v="Webcam Stove Grill"/>
    <x v="7"/>
    <s v="Automotive"/>
    <n v="159"/>
    <s v="USD"/>
    <n v="584"/>
    <n v="9883725074294"/>
    <s v="MediumOrchid"/>
    <s v="8x10 in"/>
    <s v="Pre-Order"/>
    <s v="Low"/>
  </r>
  <r>
    <s v="Eco Radio"/>
    <x v="8"/>
    <s v="Skincare"/>
    <n v="454"/>
    <s v="USD"/>
    <n v="499"/>
    <n v="1773215338624"/>
    <s v="DimGray"/>
    <s v="Medium"/>
    <s v="Pre-Order"/>
    <s v="Medium"/>
  </r>
  <r>
    <s v="Ultra Powerbank Brush Charger Max"/>
    <x v="9"/>
    <s v="Fitness Equipment"/>
    <n v="845"/>
    <s v="USD"/>
    <n v="564"/>
    <n v="4877111475333"/>
    <s v="Silver"/>
    <s v="Extra Large"/>
    <s v="Discontinued"/>
    <s v="High"/>
  </r>
  <r>
    <s v="Wireless Dock"/>
    <x v="10"/>
    <s v="Health &amp; Wellness"/>
    <n v="257"/>
    <s v="USD"/>
    <n v="168"/>
    <n v="9680811891595"/>
    <s v="Wheat"/>
    <s v="Extra Large"/>
    <s v="Pre-Order"/>
    <s v="Medium"/>
  </r>
  <r>
    <s v="Fast Camera Router Fan Smart"/>
    <x v="11"/>
    <s v="Cleaning Supplies"/>
    <n v="221"/>
    <s v="USD"/>
    <n v="672"/>
    <n v="8567222480604"/>
    <s v="MidnightBlue"/>
    <s v="Medium"/>
    <s v="Pre-Order"/>
    <s v="Medium"/>
  </r>
  <r>
    <s v="Heater Radio"/>
    <x v="12"/>
    <s v="Cycling"/>
    <n v="689"/>
    <s v="USD"/>
    <n v="156"/>
    <n v="5686660235911"/>
    <s v="Orange"/>
    <s v="L"/>
    <s v="Pre-Order"/>
    <s v="High"/>
  </r>
  <r>
    <s v="Smart Trimmer Webcam Heater"/>
    <x v="13"/>
    <s v="Automotive"/>
    <n v="279"/>
    <s v="USD"/>
    <n v="818"/>
    <n v="1941032767914"/>
    <s v="Gainsboro"/>
    <s v="XXL"/>
    <s v="Pre-Order"/>
    <s v="Medium"/>
  </r>
  <r>
    <s v="Webcam Dock Heater"/>
    <x v="14"/>
    <s v="Cleaning Supplies"/>
    <n v="101"/>
    <s v="USD"/>
    <n v="159"/>
    <n v="1438856474369"/>
    <s v="Sienna"/>
    <s v="30x40 cm"/>
    <s v="Pre-Order"/>
    <s v="Low"/>
  </r>
  <r>
    <s v="Automatic Watch Lite Sense"/>
    <x v="15"/>
    <s v="Team Sports"/>
    <n v="316"/>
    <s v="USD"/>
    <n v="329"/>
    <n v="3500722785805"/>
    <s v="Tan"/>
    <s v="5x7 in"/>
    <s v="limited_stock"/>
    <s v="Medium"/>
  </r>
  <r>
    <s v="Eco Iron Monitor Air"/>
    <x v="16"/>
    <s v="Automotive"/>
    <n v="982"/>
    <s v="USD"/>
    <n v="47"/>
    <n v="7887280730963"/>
    <s v="OliveDrab"/>
    <s v="XL"/>
    <s v="out_of_stock"/>
    <s v="High"/>
  </r>
  <r>
    <s v="Digital Tablet Router Printer Lite"/>
    <x v="17"/>
    <s v="Health &amp; Wellness"/>
    <n v="3"/>
    <s v="USD"/>
    <n v="732"/>
    <n v="4170125892616"/>
    <s v="LemonChiffon"/>
    <s v="10x10 cm"/>
    <s v="backorder"/>
    <s v="Low"/>
  </r>
  <r>
    <s v="Eco Freezer Powerbank Watch"/>
    <x v="18"/>
    <s v="Cleaning Supplies"/>
    <n v="340"/>
    <s v="USD"/>
    <n v="618"/>
    <n v="6340907128242"/>
    <s v="Cyan"/>
    <s v="S"/>
    <s v="limited_stock"/>
    <s v="Medium"/>
  </r>
  <r>
    <s v="Cooler Fan"/>
    <x v="19"/>
    <s v="Smartphones"/>
    <n v="529"/>
    <s v="USD"/>
    <n v="844"/>
    <n v="267078141619"/>
    <s v="Bisque"/>
    <s v="XS"/>
    <s v="backorder"/>
    <s v="High"/>
  </r>
  <r>
    <s v="Portable Camera Plus Air Ultra"/>
    <x v="20"/>
    <s v="Women's Clothing"/>
    <n v="197"/>
    <s v="USD"/>
    <n v="163"/>
    <n v="963840013930"/>
    <s v="Magenta"/>
    <s v="L"/>
    <s v="In Stock"/>
    <s v="Low"/>
  </r>
  <r>
    <s v="Wireless Powerbank 360 Advanced Ultra"/>
    <x v="21"/>
    <s v="Bedding &amp; Bath"/>
    <n v="677"/>
    <s v="USD"/>
    <n v="418"/>
    <n v="3918763032312"/>
    <s v="Beige"/>
    <s v="M"/>
    <s v="out_of_stock"/>
    <s v="High"/>
  </r>
  <r>
    <s v="Rechargeable Lamp Speakerphone Headphones"/>
    <x v="22"/>
    <s v="Skincare"/>
    <n v="664"/>
    <s v="USD"/>
    <n v="577"/>
    <n v="1824359393441"/>
    <s v="DarkBlue"/>
    <s v="L"/>
    <s v="Pre-Order"/>
    <s v="High"/>
  </r>
  <r>
    <s v="Mini Scooter Microphone"/>
    <x v="23"/>
    <s v="Grooming Tools"/>
    <n v="784"/>
    <s v="USD"/>
    <n v="510"/>
    <n v="9839666739792"/>
    <s v="DimGray"/>
    <s v="L"/>
    <s v="backorder"/>
    <s v="High"/>
  </r>
  <r>
    <s v="Rechargeable Webcam Stove Grill"/>
    <x v="24"/>
    <s v="Health &amp; Wellness"/>
    <n v="900"/>
    <s v="USD"/>
    <n v="623"/>
    <n v="6501687247749"/>
    <s v="PaleGreen"/>
    <s v="5x7 in"/>
    <s v="out_of_stock"/>
    <s v="High"/>
  </r>
  <r>
    <s v="Mini Iron Drone Wireless Pro"/>
    <x v="25"/>
    <s v="Cycling"/>
    <n v="909"/>
    <s v="USD"/>
    <n v="797"/>
    <n v="9496081864722"/>
    <s v="CadetBlue"/>
    <s v="XXL"/>
    <s v="limited_stock"/>
    <s v="High"/>
  </r>
  <r>
    <s v="Portable Freezer Phone Automatic Smart"/>
    <x v="26"/>
    <s v="Automotive"/>
    <n v="350"/>
    <s v="USD"/>
    <n v="756"/>
    <n v="3486711401836"/>
    <s v="Snow"/>
    <s v="XL"/>
    <s v="Pre-Order"/>
    <s v="Medium"/>
  </r>
  <r>
    <s v="Wireless Webcam Stove Grill"/>
    <x v="27"/>
    <s v="Clothing &amp; Apparel"/>
    <n v="858"/>
    <s v="USD"/>
    <n v="912"/>
    <n v="7097613907430"/>
    <s v="LightSalmon"/>
    <s v="50x70 cm"/>
    <s v="limited_stock"/>
    <s v="High"/>
  </r>
  <r>
    <s v="Clock Brush"/>
    <x v="28"/>
    <s v="Furniture"/>
    <n v="985"/>
    <s v="USD"/>
    <n v="180"/>
    <n v="8301096575048"/>
    <s v="SaddleBrown"/>
    <s v="Extra Large"/>
    <s v="In Stock"/>
    <s v="High"/>
  </r>
  <r>
    <s v="Keyboard Toaster Monitor"/>
    <x v="29"/>
    <s v="Kids' Clothing"/>
    <n v="576"/>
    <s v="USD"/>
    <n v="988"/>
    <n v="6639325474032"/>
    <s v="DarkSlateGray"/>
    <s v="L"/>
    <s v="Pre-Order"/>
    <s v="High"/>
  </r>
  <r>
    <s v="Silent Printer Fan Shaver"/>
    <x v="30"/>
    <s v="Sports &amp; Outdoors"/>
    <n v="102"/>
    <s v="USD"/>
    <n v="669"/>
    <n v="5564792899662"/>
    <s v="MediumSpringGreen"/>
    <s v="L"/>
    <s v="limited_stock"/>
    <s v="Low"/>
  </r>
  <r>
    <s v="Wireless Scooter Clean Mini"/>
    <x v="31"/>
    <s v="Fragrances"/>
    <n v="283"/>
    <s v="USD"/>
    <n v="343"/>
    <n v="9921752342730"/>
    <s v="MintCream"/>
    <s v="S"/>
    <s v="Pre-Order"/>
    <s v="Medium"/>
  </r>
  <r>
    <s v="Advanced Microphone Cooler Eco"/>
    <x v="32"/>
    <s v="Smartphones"/>
    <n v="904"/>
    <s v="USD"/>
    <n v="532"/>
    <n v="7107438924403"/>
    <s v="LightCyan"/>
    <s v="Extra Large"/>
    <s v="limited_stock"/>
    <s v="High"/>
  </r>
  <r>
    <s v="Automatic Brush Fast Eco"/>
    <x v="33"/>
    <s v="Kids' Clothing"/>
    <n v="407"/>
    <s v="USD"/>
    <n v="285"/>
    <n v="2327483415120"/>
    <s v="SeaGreen"/>
    <s v="8x10 in"/>
    <s v="out_of_stock"/>
    <s v="Medium"/>
  </r>
  <r>
    <s v="Premium Bicycle Microphone"/>
    <x v="34"/>
    <s v="Shoes &amp; Footwear"/>
    <n v="480"/>
    <s v="USD"/>
    <n v="364"/>
    <n v="6209821998907"/>
    <s v="AliceBlue"/>
    <s v="Extra Large"/>
    <s v="Discontinued"/>
    <s v="Medium"/>
  </r>
  <r>
    <s v="Smart Phone Scooter Clean"/>
    <x v="35"/>
    <s v="Women's Clothing"/>
    <n v="635"/>
    <s v="USD"/>
    <n v="727"/>
    <n v="7883295446066"/>
    <s v="MediumVioletRed"/>
    <s v="10x10 cm"/>
    <s v="backorder"/>
    <s v="High"/>
  </r>
  <r>
    <s v="Bicycle"/>
    <x v="36"/>
    <s v="Smartphones"/>
    <n v="234"/>
    <s v="USD"/>
    <n v="394"/>
    <n v="7670612815694"/>
    <s v="White"/>
    <s v="10x10 cm"/>
    <s v="backorder"/>
    <s v="Medium"/>
  </r>
  <r>
    <s v="Ultra Dock Trimmer Automatic Edge"/>
    <x v="37"/>
    <s v="Kids' Clothing"/>
    <n v="640"/>
    <s v="USD"/>
    <n v="780"/>
    <n v="2837107354495"/>
    <s v="LightBlue"/>
    <s v="5x7 in"/>
    <s v="Discontinued"/>
    <s v="High"/>
  </r>
  <r>
    <s v="Wireless Tablet Router Printer Wireless Premium Air"/>
    <x v="38"/>
    <s v="Sports &amp; Outdoors"/>
    <n v="781"/>
    <s v="USD"/>
    <n v="947"/>
    <n v="8247903213713"/>
    <s v="BlanchedAlmond"/>
    <s v="XL"/>
    <s v="out_of_stock"/>
    <s v="High"/>
  </r>
  <r>
    <s v="Clean Printer Advanced Premium Sense"/>
    <x v="39"/>
    <s v="Haircare"/>
    <n v="913"/>
    <s v="USD"/>
    <n v="820"/>
    <n v="5234087663802"/>
    <s v="Moccasin"/>
    <s v="Small"/>
    <s v="Discontinued"/>
    <s v="High"/>
  </r>
  <r>
    <s v="Silent Dock Fast"/>
    <x v="40"/>
    <s v="Fishing &amp; Hunting"/>
    <n v="100"/>
    <s v="USD"/>
    <n v="802"/>
    <n v="938364240247"/>
    <s v="CadetBlue"/>
    <s v="M"/>
    <s v="limited_stock"/>
    <s v="Low"/>
  </r>
  <r>
    <s v="Ultra Speakerphone Oven Go Smart X"/>
    <x v="41"/>
    <s v="Office Supplies"/>
    <n v="999"/>
    <s v="USD"/>
    <n v="853"/>
    <n v="450118214736"/>
    <s v="MediumOrchid"/>
    <s v="12x18 in"/>
    <s v="Pre-Order"/>
    <s v="High"/>
  </r>
  <r>
    <s v="Rechargeable Projector Pro"/>
    <x v="42"/>
    <s v="Home Decor"/>
    <n v="935"/>
    <s v="USD"/>
    <n v="55"/>
    <n v="655296358115"/>
    <s v="SlateBlue"/>
    <s v="XL"/>
    <s v="limited_stock"/>
    <s v="High"/>
  </r>
  <r>
    <s v="Eco Vacuum"/>
    <x v="43"/>
    <s v="Health &amp; Wellness"/>
    <n v="259"/>
    <s v="USD"/>
    <n v="668"/>
    <n v="8611986118980"/>
    <s v="LightCoral"/>
    <s v="5x7 in"/>
    <s v="In Stock"/>
    <s v="Medium"/>
  </r>
  <r>
    <s v="Smart Grill Tablet Fridge Go Smart Smart"/>
    <x v="44"/>
    <s v="Fitness Equipment"/>
    <n v="488"/>
    <s v="USD"/>
    <n v="966"/>
    <n v="9005775281402"/>
    <s v="Cornsilk"/>
    <s v="10x10 cm"/>
    <s v="out_of_stock"/>
    <s v="Medium"/>
  </r>
  <r>
    <s v="Digital Stove Silent Pro"/>
    <x v="45"/>
    <s v="Health &amp; Wellness"/>
    <n v="161"/>
    <s v="USD"/>
    <n v="349"/>
    <n v="5367012957872"/>
    <s v="OrangeRed"/>
    <s v="Extra Large"/>
    <s v="limited_stock"/>
    <s v="Low"/>
  </r>
  <r>
    <s v="Portable Powerbank X Air"/>
    <x v="46"/>
    <s v="Camping &amp; Hiking"/>
    <n v="599"/>
    <s v="USD"/>
    <n v="263"/>
    <n v="6854117854742"/>
    <s v="Moccasin"/>
    <s v="Large"/>
    <s v="Discontinued"/>
    <s v="High"/>
  </r>
  <r>
    <s v="Clock"/>
    <x v="47"/>
    <s v="Team Sports"/>
    <n v="731"/>
    <s v="USD"/>
    <n v="664"/>
    <n v="1382809012286"/>
    <s v="FloralWhite"/>
    <s v="S"/>
    <s v="limited_stock"/>
    <s v="High"/>
  </r>
  <r>
    <s v="Radio Treadmill"/>
    <x v="48"/>
    <s v="Office Supplies"/>
    <n v="511"/>
    <s v="USD"/>
    <n v="395"/>
    <n v="5461960384619"/>
    <s v="Violet"/>
    <s v="XL"/>
    <s v="Discontinued"/>
    <s v="High"/>
  </r>
  <r>
    <s v="Ultra Cooler Treadmill Touch Pro Ultra"/>
    <x v="49"/>
    <s v="Fragrances"/>
    <n v="214"/>
    <s v="USD"/>
    <n v="574"/>
    <n v="3625664059934"/>
    <s v="NavajoWhite"/>
    <s v="XXL"/>
    <s v="Pre-Order"/>
    <s v="Medium"/>
  </r>
  <r>
    <s v="Mini Fridge Camera"/>
    <x v="50"/>
    <s v="Fitness Equipment"/>
    <n v="777"/>
    <s v="USD"/>
    <n v="832"/>
    <n v="4894233116968"/>
    <s v="PaleGoldenRod"/>
    <s v="Extra Large"/>
    <s v="In Stock"/>
    <s v="High"/>
  </r>
  <r>
    <s v="Rechargeable Tablet Plus Portable Mini"/>
    <x v="51"/>
    <s v="Fragrances"/>
    <n v="820"/>
    <s v="USD"/>
    <n v="535"/>
    <n v="8183922928019"/>
    <s v="Cyan"/>
    <s v="100x200 mm"/>
    <s v="In Stock"/>
    <s v="High"/>
  </r>
  <r>
    <s v="Tablet"/>
    <x v="52"/>
    <s v="Beauty &amp; Personal Care"/>
    <n v="408"/>
    <s v="USD"/>
    <n v="922"/>
    <n v="8183313115592"/>
    <s v="Chocolate"/>
    <s v="Medium"/>
    <s v="backorder"/>
    <s v="Medium"/>
  </r>
  <r>
    <s v="Wireless Light Toaster Lite Touch Eco"/>
    <x v="53"/>
    <s v="Bedding &amp; Bath"/>
    <n v="791"/>
    <s v="USD"/>
    <n v="827"/>
    <n v="3057639268476"/>
    <s v="Fuchsia"/>
    <s v="50x70 cm"/>
    <s v="In Stock"/>
    <s v="High"/>
  </r>
  <r>
    <s v="Scooter"/>
    <x v="54"/>
    <s v="Cameras &amp; Accessories"/>
    <n v="370"/>
    <s v="USD"/>
    <n v="601"/>
    <n v="1974896712011"/>
    <s v="DarkOrchid"/>
    <s v="L"/>
    <s v="backorder"/>
    <s v="Medium"/>
  </r>
  <r>
    <s v="Advanced Camera Heater Webcam X Ultra Prime"/>
    <x v="55"/>
    <s v="Office Supplies"/>
    <n v="224"/>
    <s v="USD"/>
    <n v="372"/>
    <n v="983367163970"/>
    <s v="Peru"/>
    <s v="50x70 cm"/>
    <s v="Discontinued"/>
    <s v="Medium"/>
  </r>
  <r>
    <s v="Ultra Keyboard Compact Eco"/>
    <x v="56"/>
    <s v="Books &amp; Stationery"/>
    <n v="514"/>
    <s v="USD"/>
    <n v="491"/>
    <n v="8481605893389"/>
    <s v="LightGray"/>
    <s v="8x10 in"/>
    <s v="backorder"/>
    <s v="High"/>
  </r>
  <r>
    <s v="Portable Scale Speaker Powerbank Clean"/>
    <x v="57"/>
    <s v="Women's Clothing"/>
    <n v="689"/>
    <s v="USD"/>
    <n v="332"/>
    <n v="5175038823985"/>
    <s v="PowderBlue"/>
    <s v="Small"/>
    <s v="backorder"/>
    <s v="High"/>
  </r>
  <r>
    <s v="Oven Speaker Fan"/>
    <x v="58"/>
    <s v="Men's Clothing"/>
    <n v="489"/>
    <s v="USD"/>
    <n v="423"/>
    <n v="2567562782853"/>
    <s v="GoldenRod"/>
    <s v="Small"/>
    <s v="Pre-Order"/>
    <s v="Medium"/>
  </r>
  <r>
    <s v="Automatic Speaker Router Lamp Prime"/>
    <x v="59"/>
    <s v="Grooming Tools"/>
    <n v="621"/>
    <s v="USD"/>
    <n v="667"/>
    <n v="6744198567221"/>
    <s v="FireBrick"/>
    <s v="5x7 in"/>
    <s v="In Stock"/>
    <s v="High"/>
  </r>
  <r>
    <s v="Smart Webcam Projector Lock"/>
    <x v="60"/>
    <s v="Men's Clothing"/>
    <n v="440"/>
    <s v="USD"/>
    <n v="973"/>
    <n v="4811928042234"/>
    <s v="SteelBlue"/>
    <s v="Medium"/>
    <s v="In Stock"/>
    <s v="Medium"/>
  </r>
  <r>
    <s v="Fast Fan"/>
    <x v="61"/>
    <s v="Cleaning Supplies"/>
    <n v="982"/>
    <s v="USD"/>
    <n v="804"/>
    <n v="3388615003133"/>
    <s v="DarkOrchid"/>
    <s v="100x200 mm"/>
    <s v="backorder"/>
    <s v="High"/>
  </r>
  <r>
    <s v="Automatic Cooler Edge"/>
    <x v="62"/>
    <s v="Beauty &amp; Personal Care"/>
    <n v="124"/>
    <s v="USD"/>
    <n v="513"/>
    <n v="6261793125392"/>
    <s v="LimeGreen"/>
    <s v="50x70 cm"/>
    <s v="Pre-Order"/>
    <s v="Low"/>
  </r>
  <r>
    <s v="Advanced Freezer Advanced Advanced"/>
    <x v="63"/>
    <s v="Office Supplies"/>
    <n v="489"/>
    <s v="USD"/>
    <n v="561"/>
    <n v="6474143371206"/>
    <s v="Tomato"/>
    <s v="S"/>
    <s v="Pre-Order"/>
    <s v="Medium"/>
  </r>
  <r>
    <s v="Silent Trimmer Shaver Fast"/>
    <x v="64"/>
    <s v="Smartphones"/>
    <n v="130"/>
    <s v="USD"/>
    <n v="876"/>
    <n v="4089415274929"/>
    <s v="DarkSlateGray"/>
    <s v="5x7 in"/>
    <s v="In Stock"/>
    <s v="Low"/>
  </r>
  <r>
    <s v="Treadmill"/>
    <x v="65"/>
    <s v="Women's Clothing"/>
    <n v="731"/>
    <s v="USD"/>
    <n v="744"/>
    <n v="4598541150958"/>
    <s v="Cyan"/>
    <s v="5x7 in"/>
    <s v="out_of_stock"/>
    <s v="High"/>
  </r>
  <r>
    <s v="Mini Charger Lock Oven Sense Sense"/>
    <x v="66"/>
    <s v="Haircare"/>
    <n v="750"/>
    <s v="USD"/>
    <n v="623"/>
    <n v="9282813513019"/>
    <s v="Olive"/>
    <s v="12x18 in"/>
    <s v="In Stock"/>
    <s v="High"/>
  </r>
  <r>
    <s v="Thermostat Trimmer"/>
    <x v="67"/>
    <s v="Accessories (Bags, Hats, Belts)"/>
    <n v="206"/>
    <s v="USD"/>
    <n v="677"/>
    <n v="8282848236311"/>
    <s v="MidnightBlue"/>
    <s v="8x10 in"/>
    <s v="Discontinued"/>
    <s v="Medium"/>
  </r>
  <r>
    <s v="Clean Iron Premium Air Wireless"/>
    <x v="68"/>
    <s v="Beauty &amp; Personal Care"/>
    <n v="293"/>
    <s v="USD"/>
    <n v="700"/>
    <n v="7935749142557"/>
    <s v="GhostWhite"/>
    <s v="XXL"/>
    <s v="out_of_stock"/>
    <s v="Medium"/>
  </r>
  <r>
    <s v="Compact Mouse Mouse Router Mini"/>
    <x v="69"/>
    <s v="Smartwatches"/>
    <n v="5"/>
    <s v="USD"/>
    <n v="247"/>
    <n v="252926529077"/>
    <s v="PapayaWhip"/>
    <s v="10x10 cm"/>
    <s v="limited_stock"/>
    <s v="Low"/>
  </r>
  <r>
    <s v="Premium Lock Mini Advanced"/>
    <x v="70"/>
    <s v="Automotive"/>
    <n v="12"/>
    <s v="USD"/>
    <n v="439"/>
    <n v="3997003361528"/>
    <s v="Plum"/>
    <s v="XS"/>
    <s v="Pre-Order"/>
    <s v="Low"/>
  </r>
  <r>
    <s v="Silent Webcam Webcam Treadmill Sense Portable Advanced"/>
    <x v="71"/>
    <s v="Makeup"/>
    <n v="148"/>
    <s v="USD"/>
    <n v="650"/>
    <n v="6908065460286"/>
    <s v="Aqua"/>
    <s v="M"/>
    <s v="backorder"/>
    <s v="Low"/>
  </r>
  <r>
    <s v="Compact Thermostat Oven"/>
    <x v="72"/>
    <s v="Home &amp; Kitchen"/>
    <n v="685"/>
    <s v="USD"/>
    <n v="747"/>
    <n v="7695934105636"/>
    <s v="SaddleBrown"/>
    <s v="30x40 cm"/>
    <s v="In Stock"/>
    <s v="High"/>
  </r>
  <r>
    <s v="Wireless Watch Tablet Printer Automatic Eco Sense"/>
    <x v="73"/>
    <s v="Smartwatches"/>
    <n v="59"/>
    <s v="USD"/>
    <n v="169"/>
    <n v="1089969929675"/>
    <s v="Sienna"/>
    <s v="Large"/>
    <s v="out_of_stock"/>
    <s v="Low"/>
  </r>
  <r>
    <s v="Automatic Blender"/>
    <x v="74"/>
    <s v="Home Decor"/>
    <n v="630"/>
    <s v="USD"/>
    <n v="438"/>
    <n v="310774792552"/>
    <s v="LightGoldenRodYellow"/>
    <s v="8x10 in"/>
    <s v="backorder"/>
    <s v="High"/>
  </r>
  <r>
    <s v="Rechargeable Webcam Dock Heater"/>
    <x v="75"/>
    <s v="Cycling"/>
    <n v="800"/>
    <s v="USD"/>
    <n v="151"/>
    <n v="1340784358003"/>
    <s v="Brown"/>
    <s v="XXL"/>
    <s v="In Stock"/>
    <s v="High"/>
  </r>
  <r>
    <s v="Clean Toaster Oven Air Touch"/>
    <x v="76"/>
    <s v="Kids' Clothing"/>
    <n v="365"/>
    <s v="USD"/>
    <n v="71"/>
    <n v="7806787405877"/>
    <s v="LimeGreen"/>
    <s v="Medium"/>
    <s v="Pre-Order"/>
    <s v="Medium"/>
  </r>
  <r>
    <s v="Brush"/>
    <x v="77"/>
    <s v="Bedding &amp; Bath"/>
    <n v="273"/>
    <s v="USD"/>
    <n v="623"/>
    <n v="168419438521"/>
    <s v="RoyalBlue"/>
    <s v="S"/>
    <s v="In Stock"/>
    <s v="Medium"/>
  </r>
  <r>
    <s v="Portable Kettle"/>
    <x v="78"/>
    <s v="Home &amp; Kitchen"/>
    <n v="50"/>
    <s v="USD"/>
    <n v="413"/>
    <n v="445370808496"/>
    <s v="MediumAquaMarine"/>
    <s v="L"/>
    <s v="Pre-Order"/>
    <s v="Low"/>
  </r>
  <r>
    <s v="Rechargeable Brush Compact"/>
    <x v="79"/>
    <s v="Automotive"/>
    <n v="748"/>
    <s v="USD"/>
    <n v="326"/>
    <n v="6855062072649"/>
    <s v="Sienna"/>
    <s v="S"/>
    <s v="out_of_stock"/>
    <s v="High"/>
  </r>
  <r>
    <s v="Fast Heater Cooker Compact Silent"/>
    <x v="80"/>
    <s v="Makeup"/>
    <n v="367"/>
    <s v="USD"/>
    <n v="19"/>
    <n v="3868467036959"/>
    <s v="Orchid"/>
    <s v="8x10 in"/>
    <s v="In Stock"/>
    <s v="Medium"/>
  </r>
  <r>
    <s v="Mini Drone X Portable"/>
    <x v="81"/>
    <s v="Books &amp; Stationery"/>
    <n v="352"/>
    <s v="USD"/>
    <n v="123"/>
    <n v="9437200314292"/>
    <s v="BlueViolet"/>
    <s v="Medium"/>
    <s v="backorder"/>
    <s v="Medium"/>
  </r>
  <r>
    <s v="Heater Keyboard"/>
    <x v="82"/>
    <s v="Office Supplies"/>
    <n v="103"/>
    <s v="USD"/>
    <n v="208"/>
    <n v="5328785590239"/>
    <s v="Chocolate"/>
    <s v="Extra Large"/>
    <s v="backorder"/>
    <s v="Low"/>
  </r>
  <r>
    <s v="Wireless Fan Thermostat Max Automatic Max"/>
    <x v="83"/>
    <s v="Books &amp; Stationery"/>
    <n v="423"/>
    <s v="USD"/>
    <n v="759"/>
    <n v="1396411470228"/>
    <s v="MidnightBlue"/>
    <s v="5x7 in"/>
    <s v="In Stock"/>
    <s v="Medium"/>
  </r>
  <r>
    <s v="Fast Keyboard"/>
    <x v="84"/>
    <s v="Camping &amp; Hiking"/>
    <n v="998"/>
    <s v="USD"/>
    <n v="10"/>
    <n v="3163238295239"/>
    <s v="Cyan"/>
    <s v="50x70 cm"/>
    <s v="limited_stock"/>
    <s v="High"/>
  </r>
  <r>
    <s v="Ultra Mixer Toaster Toaster Smart"/>
    <x v="85"/>
    <s v="Women's Clothing"/>
    <n v="342"/>
    <s v="USD"/>
    <n v="221"/>
    <n v="4862330962177"/>
    <s v="Tomato"/>
    <s v="S"/>
    <s v="Pre-Order"/>
    <s v="Medium"/>
  </r>
  <r>
    <s v="Silent Speakerphone Scanner Monitor"/>
    <x v="86"/>
    <s v="Fragrances"/>
    <n v="593"/>
    <s v="USD"/>
    <n v="580"/>
    <n v="1710131812265"/>
    <s v="Navy"/>
    <s v="XXL"/>
    <s v="Discontinued"/>
    <s v="High"/>
  </r>
  <r>
    <s v="Silent Scanner Monitor Treadmill"/>
    <x v="87"/>
    <s v="Health &amp; Wellness"/>
    <n v="30"/>
    <s v="USD"/>
    <n v="728"/>
    <n v="1287056757693"/>
    <s v="Wheat"/>
    <s v="10x10 cm"/>
    <s v="Pre-Order"/>
    <s v="Low"/>
  </r>
  <r>
    <s v="Fast Vacuum Cooler"/>
    <x v="88"/>
    <s v="Sports &amp; Outdoors"/>
    <n v="307"/>
    <s v="USD"/>
    <n v="320"/>
    <n v="4874329354658"/>
    <s v="LightSalmon"/>
    <s v="L"/>
    <s v="limited_stock"/>
    <s v="Medium"/>
  </r>
  <r>
    <s v="Digital Trimmer"/>
    <x v="89"/>
    <s v="Laptops &amp; Computers"/>
    <n v="541"/>
    <s v="USD"/>
    <n v="488"/>
    <n v="4147810179628"/>
    <s v="SteelBlue"/>
    <s v="M"/>
    <s v="Pre-Order"/>
    <s v="High"/>
  </r>
  <r>
    <s v="Automatic Trimmer Sense"/>
    <x v="90"/>
    <s v="Kitchen Appliances"/>
    <n v="405"/>
    <s v="USD"/>
    <n v="950"/>
    <n v="524638185"/>
    <s v="SlateGray"/>
    <s v="8x10 in"/>
    <s v="In Stock"/>
    <s v="Medium"/>
  </r>
  <r>
    <s v="Portable Scooter Wireless Digital"/>
    <x v="91"/>
    <s v="Cameras &amp; Accessories"/>
    <n v="519"/>
    <s v="USD"/>
    <n v="495"/>
    <n v="4564280934296"/>
    <s v="DeepSkyBlue"/>
    <s v="Large"/>
    <s v="In Stock"/>
    <s v="High"/>
  </r>
  <r>
    <s v="Fridge Cooker"/>
    <x v="92"/>
    <s v="Furniture"/>
    <n v="393"/>
    <s v="USD"/>
    <n v="499"/>
    <n v="1861389468671"/>
    <s v="Black"/>
    <s v="Small"/>
    <s v="In Stock"/>
    <s v="Medium"/>
  </r>
  <r>
    <s v="Scanner"/>
    <x v="93"/>
    <s v="Cleaning Supplies"/>
    <n v="472"/>
    <s v="USD"/>
    <n v="63"/>
    <n v="7794860625802"/>
    <s v="ForestGreen"/>
    <s v="12x18 in"/>
    <s v="backorder"/>
    <s v="Medium"/>
  </r>
  <r>
    <s v="Ultra Radio Radio"/>
    <x v="94"/>
    <s v="Haircare"/>
    <n v="382"/>
    <s v="USD"/>
    <n v="639"/>
    <n v="3611080124547"/>
    <s v="Aquamarine"/>
    <s v="12x18 in"/>
    <s v="Pre-Order"/>
    <s v="Medium"/>
  </r>
  <r>
    <s v="Router"/>
    <x v="95"/>
    <s v="Laptops &amp; Computers"/>
    <n v="375"/>
    <s v="USD"/>
    <n v="703"/>
    <n v="3330396409604"/>
    <s v="Gainsboro"/>
    <s v="8x10 in"/>
    <s v="limited_stock"/>
    <s v="Medium"/>
  </r>
  <r>
    <s v="Fast Thermostat Microphone Scooter"/>
    <x v="96"/>
    <s v="Beauty &amp; Personal Care"/>
    <n v="289"/>
    <s v="USD"/>
    <n v="727"/>
    <n v="9265397743935"/>
    <s v="White"/>
    <s v="Extra Large"/>
    <s v="backorder"/>
    <s v="Medium"/>
  </r>
  <r>
    <s v="Eco Heater Toaster Stove Silent Sense"/>
    <x v="97"/>
    <s v="Cleaning Supplies"/>
    <n v="232"/>
    <s v="USD"/>
    <n v="998"/>
    <n v="5505866454530"/>
    <s v="OldLace"/>
    <s v="Small"/>
    <s v="limited_stock"/>
    <s v="Medium"/>
  </r>
  <r>
    <s v="Clean Blender Scale Lite"/>
    <x v="98"/>
    <s v="Camping &amp; Hiking"/>
    <n v="241"/>
    <s v="USD"/>
    <n v="391"/>
    <n v="3893594435450"/>
    <s v="Aquamarine"/>
    <s v="5x7 in"/>
    <s v="limited_stock"/>
    <s v="Medium"/>
  </r>
  <r>
    <s v="Smart Lamp"/>
    <x v="99"/>
    <s v="Bedding &amp; Bath"/>
    <n v="71"/>
    <s v="USD"/>
    <n v="518"/>
    <n v="8264263605712"/>
    <s v="Brown"/>
    <s v="Medium"/>
    <s v="limited_stock"/>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912E9B-9ED2-4B1D-AEE9-72D8A3984401}"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F14" firstHeaderRow="0" firstDataRow="1" firstDataCol="1"/>
  <pivotFields count="11">
    <pivotField dataField="1" showAll="0"/>
    <pivotField axis="axisRow" showAll="0" measureFilter="1">
      <items count="101">
        <item x="61"/>
        <item x="95"/>
        <item x="16"/>
        <item x="37"/>
        <item x="48"/>
        <item x="69"/>
        <item x="91"/>
        <item x="98"/>
        <item x="5"/>
        <item x="88"/>
        <item x="52"/>
        <item x="49"/>
        <item x="29"/>
        <item x="19"/>
        <item x="9"/>
        <item x="82"/>
        <item x="26"/>
        <item x="66"/>
        <item x="21"/>
        <item x="79"/>
        <item x="55"/>
        <item x="89"/>
        <item x="13"/>
        <item x="86"/>
        <item x="50"/>
        <item x="80"/>
        <item x="12"/>
        <item x="23"/>
        <item x="8"/>
        <item x="70"/>
        <item x="73"/>
        <item x="65"/>
        <item x="3"/>
        <item x="22"/>
        <item x="85"/>
        <item x="0"/>
        <item x="71"/>
        <item x="63"/>
        <item x="46"/>
        <item x="90"/>
        <item x="36"/>
        <item x="99"/>
        <item x="27"/>
        <item x="67"/>
        <item x="24"/>
        <item x="44"/>
        <item x="72"/>
        <item x="4"/>
        <item x="92"/>
        <item x="14"/>
        <item x="83"/>
        <item x="75"/>
        <item x="25"/>
        <item x="28"/>
        <item x="2"/>
        <item x="42"/>
        <item x="84"/>
        <item x="30"/>
        <item x="77"/>
        <item x="74"/>
        <item x="94"/>
        <item x="47"/>
        <item x="35"/>
        <item x="40"/>
        <item x="6"/>
        <item x="38"/>
        <item x="51"/>
        <item x="32"/>
        <item x="57"/>
        <item x="7"/>
        <item x="1"/>
        <item x="64"/>
        <item x="33"/>
        <item x="87"/>
        <item x="34"/>
        <item x="62"/>
        <item x="76"/>
        <item x="56"/>
        <item x="18"/>
        <item x="15"/>
        <item x="54"/>
        <item x="10"/>
        <item x="78"/>
        <item x="58"/>
        <item x="59"/>
        <item x="96"/>
        <item x="68"/>
        <item x="53"/>
        <item x="60"/>
        <item x="45"/>
        <item x="31"/>
        <item x="11"/>
        <item x="17"/>
        <item x="93"/>
        <item x="20"/>
        <item x="43"/>
        <item x="97"/>
        <item x="81"/>
        <item x="39"/>
        <item x="41"/>
        <item t="default"/>
      </items>
    </pivotField>
    <pivotField showAll="0"/>
    <pivotField showAll="0"/>
    <pivotField showAll="0"/>
    <pivotField dataField="1" showAll="0"/>
    <pivotField showAll="0"/>
    <pivotField showAll="0"/>
    <pivotField showAll="0"/>
    <pivotField showAll="0"/>
    <pivotField showAll="0"/>
  </pivotFields>
  <rowFields count="1">
    <field x="1"/>
  </rowFields>
  <rowItems count="11">
    <i>
      <x v="10"/>
    </i>
    <i>
      <x v="12"/>
    </i>
    <i>
      <x v="32"/>
    </i>
    <i>
      <x v="39"/>
    </i>
    <i>
      <x v="42"/>
    </i>
    <i>
      <x v="45"/>
    </i>
    <i>
      <x v="47"/>
    </i>
    <i>
      <x v="65"/>
    </i>
    <i>
      <x v="88"/>
    </i>
    <i>
      <x v="96"/>
    </i>
    <i t="grand">
      <x/>
    </i>
  </rowItems>
  <colFields count="1">
    <field x="-2"/>
  </colFields>
  <colItems count="2">
    <i>
      <x/>
    </i>
    <i i="1">
      <x v="1"/>
    </i>
  </colItems>
  <dataFields count="2">
    <dataField name="Total Stock" fld="5" baseField="1" baseItem="0"/>
    <dataField name="Product Count" fld="0" subtotal="count" baseField="1"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9AB4D8-D356-44C8-B2CA-9A1F1825BA91}"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36" firstHeaderRow="1" firstDataRow="1" firstDataCol="1"/>
  <pivotFields count="15">
    <pivotField showAll="0"/>
    <pivotField showAll="0">
      <items count="101">
        <item x="61"/>
        <item x="95"/>
        <item x="16"/>
        <item x="37"/>
        <item x="48"/>
        <item x="69"/>
        <item x="91"/>
        <item x="98"/>
        <item x="5"/>
        <item x="88"/>
        <item x="52"/>
        <item x="49"/>
        <item x="29"/>
        <item x="19"/>
        <item x="9"/>
        <item x="82"/>
        <item x="26"/>
        <item x="66"/>
        <item x="21"/>
        <item x="79"/>
        <item x="55"/>
        <item x="89"/>
        <item x="13"/>
        <item x="86"/>
        <item x="50"/>
        <item x="80"/>
        <item x="12"/>
        <item x="23"/>
        <item x="8"/>
        <item x="70"/>
        <item x="73"/>
        <item x="65"/>
        <item x="3"/>
        <item x="22"/>
        <item x="85"/>
        <item x="0"/>
        <item x="71"/>
        <item x="63"/>
        <item x="46"/>
        <item x="90"/>
        <item x="36"/>
        <item x="99"/>
        <item x="27"/>
        <item x="67"/>
        <item x="24"/>
        <item x="44"/>
        <item x="72"/>
        <item x="4"/>
        <item x="92"/>
        <item x="14"/>
        <item x="83"/>
        <item x="75"/>
        <item x="25"/>
        <item x="28"/>
        <item x="2"/>
        <item x="42"/>
        <item x="84"/>
        <item x="30"/>
        <item x="77"/>
        <item x="74"/>
        <item x="94"/>
        <item x="47"/>
        <item x="35"/>
        <item x="40"/>
        <item x="6"/>
        <item x="38"/>
        <item x="51"/>
        <item x="32"/>
        <item x="57"/>
        <item x="7"/>
        <item x="1"/>
        <item x="64"/>
        <item x="33"/>
        <item x="87"/>
        <item x="34"/>
        <item x="62"/>
        <item x="76"/>
        <item x="56"/>
        <item x="18"/>
        <item x="15"/>
        <item x="54"/>
        <item x="10"/>
        <item x="78"/>
        <item x="58"/>
        <item x="59"/>
        <item x="96"/>
        <item x="68"/>
        <item x="53"/>
        <item x="60"/>
        <item x="45"/>
        <item x="31"/>
        <item x="11"/>
        <item x="17"/>
        <item x="93"/>
        <item x="20"/>
        <item x="43"/>
        <item x="97"/>
        <item x="81"/>
        <item x="39"/>
        <item x="41"/>
        <item t="default"/>
      </items>
    </pivotField>
    <pivotField axis="axisRow" showAll="0">
      <items count="33">
        <item x="28"/>
        <item x="6"/>
        <item x="25"/>
        <item x="14"/>
        <item x="0"/>
        <item x="26"/>
        <item x="24"/>
        <item x="9"/>
        <item x="16"/>
        <item x="10"/>
        <item x="21"/>
        <item x="7"/>
        <item x="19"/>
        <item x="17"/>
        <item x="15"/>
        <item x="20"/>
        <item x="8"/>
        <item x="31"/>
        <item x="23"/>
        <item x="3"/>
        <item x="2"/>
        <item x="5"/>
        <item x="30"/>
        <item x="27"/>
        <item x="22"/>
        <item x="1"/>
        <item x="4"/>
        <item x="12"/>
        <item x="29"/>
        <item x="18"/>
        <item x="11"/>
        <item x="13"/>
        <item t="default"/>
      </items>
    </pivotField>
    <pivotField showAll="0"/>
    <pivotField showAll="0"/>
    <pivotField showAll="0"/>
    <pivotField showAll="0"/>
    <pivotField showAll="0"/>
    <pivotField showAll="0"/>
    <pivotField showAll="0"/>
    <pivotField showAll="0">
      <items count="4">
        <item x="1"/>
        <item x="2"/>
        <item x="0"/>
        <item t="default"/>
      </items>
    </pivotField>
    <pivotField dataField="1" showAll="0"/>
    <pivotField showAll="0"/>
    <pivotField showAll="0">
      <items count="4">
        <item x="1"/>
        <item x="2"/>
        <item x="0"/>
        <item t="default"/>
      </items>
    </pivotField>
    <pivotField showAl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Total Inventory Value" fld="11" baseField="2"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0C85A6-7C62-4D91-A45F-2E19576BB691}"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H37" firstHeaderRow="1" firstDataRow="2" firstDataCol="1"/>
  <pivotFields count="15">
    <pivotField dataField="1" showAll="0"/>
    <pivotField showAll="0">
      <items count="101">
        <item x="61"/>
        <item x="95"/>
        <item x="16"/>
        <item x="37"/>
        <item x="48"/>
        <item x="69"/>
        <item x="91"/>
        <item x="98"/>
        <item x="5"/>
        <item x="88"/>
        <item x="52"/>
        <item x="49"/>
        <item x="29"/>
        <item x="19"/>
        <item x="9"/>
        <item x="82"/>
        <item x="26"/>
        <item x="66"/>
        <item x="21"/>
        <item x="79"/>
        <item x="55"/>
        <item x="89"/>
        <item x="13"/>
        <item x="86"/>
        <item x="50"/>
        <item x="80"/>
        <item x="12"/>
        <item x="23"/>
        <item x="8"/>
        <item x="70"/>
        <item x="73"/>
        <item x="65"/>
        <item x="3"/>
        <item x="22"/>
        <item x="85"/>
        <item x="0"/>
        <item x="71"/>
        <item x="63"/>
        <item x="46"/>
        <item x="90"/>
        <item x="36"/>
        <item x="99"/>
        <item x="27"/>
        <item x="67"/>
        <item x="24"/>
        <item x="44"/>
        <item x="72"/>
        <item x="4"/>
        <item x="92"/>
        <item x="14"/>
        <item x="83"/>
        <item x="75"/>
        <item x="25"/>
        <item x="28"/>
        <item x="2"/>
        <item x="42"/>
        <item x="84"/>
        <item x="30"/>
        <item x="77"/>
        <item x="74"/>
        <item x="94"/>
        <item x="47"/>
        <item x="35"/>
        <item x="40"/>
        <item x="6"/>
        <item x="38"/>
        <item x="51"/>
        <item x="32"/>
        <item x="57"/>
        <item x="7"/>
        <item x="1"/>
        <item x="64"/>
        <item x="33"/>
        <item x="87"/>
        <item x="34"/>
        <item x="62"/>
        <item x="76"/>
        <item x="56"/>
        <item x="18"/>
        <item x="15"/>
        <item x="54"/>
        <item x="10"/>
        <item x="78"/>
        <item x="58"/>
        <item x="59"/>
        <item x="96"/>
        <item x="68"/>
        <item x="53"/>
        <item x="60"/>
        <item x="45"/>
        <item x="31"/>
        <item x="11"/>
        <item x="17"/>
        <item x="93"/>
        <item x="20"/>
        <item x="43"/>
        <item x="97"/>
        <item x="81"/>
        <item x="39"/>
        <item x="41"/>
        <item t="default"/>
      </items>
    </pivotField>
    <pivotField axis="axisRow" showAll="0">
      <items count="33">
        <item x="28"/>
        <item x="6"/>
        <item x="25"/>
        <item x="14"/>
        <item x="0"/>
        <item x="26"/>
        <item x="24"/>
        <item x="9"/>
        <item x="16"/>
        <item x="10"/>
        <item x="21"/>
        <item x="7"/>
        <item x="19"/>
        <item x="17"/>
        <item x="15"/>
        <item x="20"/>
        <item x="8"/>
        <item x="31"/>
        <item x="23"/>
        <item x="3"/>
        <item x="2"/>
        <item x="5"/>
        <item x="30"/>
        <item x="27"/>
        <item x="22"/>
        <item x="1"/>
        <item x="4"/>
        <item x="12"/>
        <item x="29"/>
        <item x="18"/>
        <item x="11"/>
        <item x="13"/>
        <item t="default"/>
      </items>
    </pivotField>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showAll="0"/>
    <pivotField showAl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10"/>
  </colFields>
  <colItems count="4">
    <i>
      <x/>
    </i>
    <i>
      <x v="1"/>
    </i>
    <i>
      <x v="2"/>
    </i>
    <i t="grand">
      <x/>
    </i>
  </colItems>
  <dataFields count="1">
    <dataField name="Count of Name" fld="0" subtotal="count" baseField="0" baseItem="0"/>
  </dataFields>
  <chartFormats count="3">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5F874E-62D9-41D3-BE4B-119328164FB4}"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Name" fld="1" subtotal="count" baseField="0" baseItem="0"/>
  </dataFields>
  <chartFormats count="5">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blInvento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FEEF8AB-8AA4-4BC8-A796-A07D36EF1A96}" sourceName="Brand">
  <pivotTables>
    <pivotTable tabId="3" name="PivotTable1"/>
    <pivotTable tabId="4" name="PivotTable5"/>
  </pivotTables>
  <data>
    <tabular pivotCacheId="2006066626">
      <items count="100">
        <i x="61" s="1"/>
        <i x="95" s="1"/>
        <i x="16" s="1"/>
        <i x="37" s="1"/>
        <i x="48" s="1"/>
        <i x="69" s="1"/>
        <i x="91" s="1"/>
        <i x="98" s="1"/>
        <i x="5" s="1"/>
        <i x="88" s="1"/>
        <i x="52" s="1"/>
        <i x="49" s="1"/>
        <i x="29" s="1"/>
        <i x="19" s="1"/>
        <i x="9" s="1"/>
        <i x="82" s="1"/>
        <i x="26" s="1"/>
        <i x="66" s="1"/>
        <i x="21" s="1"/>
        <i x="79" s="1"/>
        <i x="55" s="1"/>
        <i x="89" s="1"/>
        <i x="13" s="1"/>
        <i x="86" s="1"/>
        <i x="50" s="1"/>
        <i x="80" s="1"/>
        <i x="12" s="1"/>
        <i x="23" s="1"/>
        <i x="8" s="1"/>
        <i x="70" s="1"/>
        <i x="73" s="1"/>
        <i x="65" s="1"/>
        <i x="3" s="1"/>
        <i x="22" s="1"/>
        <i x="85" s="1"/>
        <i x="0" s="1"/>
        <i x="71" s="1"/>
        <i x="63" s="1"/>
        <i x="46" s="1"/>
        <i x="90" s="1"/>
        <i x="36" s="1"/>
        <i x="99" s="1"/>
        <i x="27" s="1"/>
        <i x="67" s="1"/>
        <i x="24" s="1"/>
        <i x="44" s="1"/>
        <i x="72" s="1"/>
        <i x="4" s="1"/>
        <i x="92" s="1"/>
        <i x="14" s="1"/>
        <i x="83" s="1"/>
        <i x="75" s="1"/>
        <i x="25" s="1"/>
        <i x="28" s="1"/>
        <i x="2" s="1"/>
        <i x="42" s="1"/>
        <i x="84" s="1"/>
        <i x="30" s="1"/>
        <i x="77" s="1"/>
        <i x="74" s="1"/>
        <i x="94" s="1"/>
        <i x="47" s="1"/>
        <i x="35" s="1"/>
        <i x="40" s="1"/>
        <i x="6" s="1"/>
        <i x="38" s="1"/>
        <i x="51" s="1"/>
        <i x="32" s="1"/>
        <i x="57" s="1"/>
        <i x="7" s="1"/>
        <i x="1" s="1"/>
        <i x="64" s="1"/>
        <i x="33" s="1"/>
        <i x="87" s="1"/>
        <i x="34" s="1"/>
        <i x="62" s="1"/>
        <i x="76" s="1"/>
        <i x="56" s="1"/>
        <i x="18" s="1"/>
        <i x="15" s="1"/>
        <i x="54" s="1"/>
        <i x="10" s="1"/>
        <i x="78" s="1"/>
        <i x="58" s="1"/>
        <i x="59" s="1"/>
        <i x="96" s="1"/>
        <i x="68" s="1"/>
        <i x="53" s="1"/>
        <i x="60" s="1"/>
        <i x="45" s="1"/>
        <i x="31" s="1"/>
        <i x="11" s="1"/>
        <i x="17" s="1"/>
        <i x="93" s="1"/>
        <i x="20" s="1"/>
        <i x="43" s="1"/>
        <i x="97" s="1"/>
        <i x="81" s="1"/>
        <i x="39" s="1"/>
        <i x="4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01207D5-FEAE-428C-A000-7CD16C3FD0E2}" sourceName="Category">
  <pivotTables>
    <pivotTable tabId="3" name="PivotTable1"/>
  </pivotTables>
  <data>
    <tabular pivotCacheId="2006066626">
      <items count="32">
        <i x="28" s="1"/>
        <i x="6" s="1"/>
        <i x="25" s="1"/>
        <i x="14" s="1"/>
        <i x="0" s="1"/>
        <i x="26" s="1"/>
        <i x="24" s="1"/>
        <i x="9" s="1"/>
        <i x="16" s="1"/>
        <i x="10" s="1"/>
        <i x="21" s="1"/>
        <i x="7" s="1"/>
        <i x="19" s="1"/>
        <i x="17" s="1"/>
        <i x="15" s="1"/>
        <i x="20" s="1"/>
        <i x="8" s="1"/>
        <i x="31" s="1"/>
        <i x="23" s="1"/>
        <i x="3" s="1"/>
        <i x="2" s="1"/>
        <i x="5" s="1"/>
        <i x="30" s="1"/>
        <i x="27" s="1"/>
        <i x="22" s="1"/>
        <i x="1" s="1"/>
        <i x="4" s="1"/>
        <i x="12" s="1"/>
        <i x="29" s="1"/>
        <i x="18" s="1"/>
        <i x="11"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and" xr10:uid="{725D3ABF-1EE4-4DDB-A74E-C0176842E1F8}" sourceName="Price Band">
  <pivotTables>
    <pivotTable tabId="3" name="PivotTable1"/>
  </pivotTables>
  <data>
    <tabular pivotCacheId="2006066626">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ility_Flag" xr10:uid="{F3563240-7585-481F-8DAA-E3E31E28571E}" sourceName="Availability Flag">
  <pivotTables>
    <pivotTable tabId="3" name="PivotTable1"/>
  </pivotTables>
  <data>
    <tabular pivotCacheId="200606662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BE6B3518-3BAB-4261-A06A-A89E7B2FD933}" cache="Slicer_Brand" caption="Brand" rowHeight="234950"/>
  <slicer name="Category" xr10:uid="{21D3C808-61A9-4619-BD1A-31BD280996AC}" cache="Slicer_Category" caption="Category" startItem="16" rowHeight="234950"/>
  <slicer name="Price Band" xr10:uid="{68E30B71-A24D-4A15-82DD-7079E91D15D5}" cache="Slicer_Price_Band" caption="Price Band" rowHeight="234950"/>
  <slicer name="Availability Flag" xr10:uid="{E9ECD7DB-14E4-48DC-AB8A-B417EE5D0627}" cache="Slicer_Availability_Flag" caption="Availability Flag"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40619A1C-73A0-4244-9FDA-BF2BCE34EBF3}" cache="Slicer_Brand" caption="Brand" rowHeight="234950"/>
  <slicer name="Category 1" xr10:uid="{42282C83-168E-4B0F-BB2E-21B340041BAF}" cache="Slicer_Category" caption="Category" rowHeight="234950"/>
  <slicer name="Price Band 1" xr10:uid="{0A19F816-0F50-4A4D-B6CC-420DB81EC626}" cache="Slicer_Price_Band" caption="Price Band" rowHeight="234950"/>
  <slicer name="Availability Flag 1" xr10:uid="{298A59A5-FF05-4D27-A8BA-436117974DE1}" cache="Slicer_Availability_Flag" caption="Availability Flag"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74E919-FBD7-4E90-A3D4-CD4A38B2D5DA}" name="tblInventory" displayName="tblInventory" ref="A1:O101" totalsRowShown="0" headerRowDxfId="4" headerRowBorderDxfId="5" tableBorderDxfId="6">
  <autoFilter ref="A1:O101" xr:uid="{F574E919-FBD7-4E90-A3D4-CD4A38B2D5DA}"/>
  <tableColumns count="15">
    <tableColumn id="1" xr3:uid="{D6D48FAA-F8DA-470D-8F7F-F71F6B14ABD4}" name="Name"/>
    <tableColumn id="2" xr3:uid="{0FCB4ABA-EE9F-4627-9B03-351C06953816}" name="Brand"/>
    <tableColumn id="3" xr3:uid="{80F5E5C1-6FCF-48C0-BF9C-148EB3C8230F}" name="Category"/>
    <tableColumn id="4" xr3:uid="{F57DBB56-CAEE-46C5-9FF1-8A7C106AE178}" name="Price"/>
    <tableColumn id="5" xr3:uid="{6984DFAB-F73A-4DB5-81B5-EA5A52CAFD82}" name="Currency"/>
    <tableColumn id="6" xr3:uid="{FEA93DCB-8800-49E5-B409-49D6462ED5D1}" name="Stock"/>
    <tableColumn id="7" xr3:uid="{A43EBE1C-3E22-4AED-AD8D-FD96D1CBAF67}" name="EAN"/>
    <tableColumn id="8" xr3:uid="{C51991DC-F9A3-457E-BF4F-4EDD96DA7E19}" name="Color"/>
    <tableColumn id="9" xr3:uid="{E548C7CB-6667-45C4-AFE9-7677CF792C7A}" name="Size"/>
    <tableColumn id="10" xr3:uid="{A27E7678-1CB6-4A7D-AEF0-5AE5BF70A35B}" name="Availability"/>
    <tableColumn id="11" xr3:uid="{166827FA-59D7-47DB-B489-4A6E6173CF3E}" name="Price Band"/>
    <tableColumn id="12" xr3:uid="{389BDAB1-0588-40D6-B1FB-94F3EF323EC2}" name="Stock Value" dataDxfId="3">
      <calculatedColumnFormula>tblInventory[[#This Row],[Price]] * tblInventory[[#This Row],[Stock]]</calculatedColumnFormula>
    </tableColumn>
    <tableColumn id="13" xr3:uid="{74213784-501B-40F9-957B-7F82A240AB28}" name="Low Stock Flag" dataDxfId="2">
      <calculatedColumnFormula>IF(tblInventory[[#This Row],[Stock]]&lt;100,"Low","OK")</calculatedColumnFormula>
    </tableColumn>
    <tableColumn id="14" xr3:uid="{355E750E-8168-445C-B7DD-CA04D5BF7D93}" name="Availability Flag" dataDxfId="1">
      <calculatedColumnFormula>IF(tblInventory[[#This Row],[Availability]]="In Stock","Available",
IF(tblInventory[[#This Row],[Availability]]="Pre-Order","Upcoming","Inactive"))</calculatedColumnFormula>
    </tableColumn>
    <tableColumn id="15" xr3:uid="{272244C0-4275-45B8-AA82-0BDFE25AE164}" name="Price Band Numeric" dataDxfId="0">
      <calculatedColumnFormula>IF(tblInventory[[#This Row],[Price Band]]="Low",1,
IF(tblInventory[[#This Row],[Price Band]]="Medium",2,3))</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opLeftCell="C1" workbookViewId="0">
      <selection activeCell="M1" sqref="M1"/>
    </sheetView>
  </sheetViews>
  <sheetFormatPr defaultRowHeight="14.4" x14ac:dyDescent="0.3"/>
  <cols>
    <col min="1" max="1" width="50.6640625" bestFit="1" customWidth="1"/>
    <col min="2" max="2" width="28.109375" bestFit="1" customWidth="1"/>
    <col min="3" max="3" width="25.6640625" bestFit="1" customWidth="1"/>
    <col min="4" max="4" width="9.5546875" bestFit="1" customWidth="1"/>
    <col min="5" max="5" width="13" bestFit="1" customWidth="1"/>
    <col min="6" max="6" width="10.109375" bestFit="1" customWidth="1"/>
    <col min="7" max="7" width="12" bestFit="1" customWidth="1"/>
    <col min="8" max="8" width="19.5546875" bestFit="1" customWidth="1"/>
    <col min="9" max="9" width="11.44140625" bestFit="1" customWidth="1"/>
    <col min="10" max="10" width="14.6640625" bestFit="1" customWidth="1"/>
    <col min="11" max="11" width="14.33203125" bestFit="1" customWidth="1"/>
    <col min="12" max="12" width="15.33203125" bestFit="1" customWidth="1"/>
    <col min="13" max="13" width="16.6640625" bestFit="1" customWidth="1"/>
    <col min="14" max="14" width="18.5546875" bestFit="1" customWidth="1"/>
    <col min="15" max="15" width="22.10937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340</v>
      </c>
      <c r="M1" s="1" t="s">
        <v>353</v>
      </c>
      <c r="N1" s="1" t="s">
        <v>341</v>
      </c>
      <c r="O1" s="1" t="s">
        <v>342</v>
      </c>
    </row>
    <row r="2" spans="1:15" x14ac:dyDescent="0.3">
      <c r="A2" t="s">
        <v>11</v>
      </c>
      <c r="B2" t="s">
        <v>110</v>
      </c>
      <c r="C2" t="s">
        <v>210</v>
      </c>
      <c r="D2">
        <v>265</v>
      </c>
      <c r="E2" t="s">
        <v>242</v>
      </c>
      <c r="F2">
        <v>774</v>
      </c>
      <c r="G2">
        <v>2091465262179</v>
      </c>
      <c r="H2" t="s">
        <v>243</v>
      </c>
      <c r="I2" t="s">
        <v>315</v>
      </c>
      <c r="J2" t="s">
        <v>332</v>
      </c>
      <c r="K2" t="s">
        <v>322</v>
      </c>
      <c r="L2">
        <f>tblInventory[[#This Row],[Price]] * tblInventory[[#This Row],[Stock]]</f>
        <v>205110</v>
      </c>
      <c r="M2" t="str">
        <f>IF(tblInventory[[#This Row],[Stock]]&lt;100,"Low","OK")</f>
        <v>OK</v>
      </c>
      <c r="N2" t="str">
        <f>IF(tblInventory[[#This Row],[Availability]]="In Stock","Available",
IF(tblInventory[[#This Row],[Availability]]="Pre-Order","Upcoming","Inactive"))</f>
        <v>Upcoming</v>
      </c>
      <c r="O2" s="2">
        <f>IF(tblInventory[[#This Row],[Price Band]]="Low",1,
IF(tblInventory[[#This Row],[Price Band]]="Medium",2,3))</f>
        <v>2</v>
      </c>
    </row>
    <row r="3" spans="1:15" x14ac:dyDescent="0.3">
      <c r="A3" t="s">
        <v>12</v>
      </c>
      <c r="B3" t="s">
        <v>111</v>
      </c>
      <c r="C3" t="s">
        <v>211</v>
      </c>
      <c r="D3">
        <v>502</v>
      </c>
      <c r="E3" t="s">
        <v>242</v>
      </c>
      <c r="F3">
        <v>81</v>
      </c>
      <c r="G3">
        <v>5286196620740</v>
      </c>
      <c r="H3" t="s">
        <v>244</v>
      </c>
      <c r="I3" t="s">
        <v>316</v>
      </c>
      <c r="J3" t="s">
        <v>333</v>
      </c>
      <c r="K3" t="s">
        <v>338</v>
      </c>
      <c r="L3">
        <f>tblInventory[[#This Row],[Price]] * tblInventory[[#This Row],[Stock]]</f>
        <v>40662</v>
      </c>
      <c r="M3" t="str">
        <f>IF(tblInventory[[#This Row],[Stock]]&lt;100,"Low","OK")</f>
        <v>Low</v>
      </c>
      <c r="N3" t="str">
        <f>IF(tblInventory[[#This Row],[Availability]]="In Stock","Available",
IF(tblInventory[[#This Row],[Availability]]="Pre-Order","Upcoming","Inactive"))</f>
        <v>Available</v>
      </c>
      <c r="O3" s="2">
        <f>IF(tblInventory[[#This Row],[Price Band]]="Low",1,
IF(tblInventory[[#This Row],[Price Band]]="Medium",2,3))</f>
        <v>3</v>
      </c>
    </row>
    <row r="4" spans="1:15" x14ac:dyDescent="0.3">
      <c r="A4" t="s">
        <v>13</v>
      </c>
      <c r="B4" t="s">
        <v>112</v>
      </c>
      <c r="C4" t="s">
        <v>212</v>
      </c>
      <c r="D4">
        <v>227</v>
      </c>
      <c r="E4" t="s">
        <v>242</v>
      </c>
      <c r="F4">
        <v>726</v>
      </c>
      <c r="G4">
        <v>1282898648918</v>
      </c>
      <c r="H4" t="s">
        <v>245</v>
      </c>
      <c r="I4" t="s">
        <v>317</v>
      </c>
      <c r="J4" t="s">
        <v>333</v>
      </c>
      <c r="K4" t="s">
        <v>322</v>
      </c>
      <c r="L4">
        <f>tblInventory[[#This Row],[Price]] * tblInventory[[#This Row],[Stock]]</f>
        <v>164802</v>
      </c>
      <c r="M4" t="str">
        <f>IF(tblInventory[[#This Row],[Stock]]&lt;100,"Low","OK")</f>
        <v>OK</v>
      </c>
      <c r="N4" t="str">
        <f>IF(tblInventory[[#This Row],[Availability]]="In Stock","Available",
IF(tblInventory[[#This Row],[Availability]]="Pre-Order","Upcoming","Inactive"))</f>
        <v>Available</v>
      </c>
      <c r="O4" s="2">
        <f>IF(tblInventory[[#This Row],[Price Band]]="Low",1,
IF(tblInventory[[#This Row],[Price Band]]="Medium",2,3))</f>
        <v>2</v>
      </c>
    </row>
    <row r="5" spans="1:15" x14ac:dyDescent="0.3">
      <c r="A5" t="s">
        <v>14</v>
      </c>
      <c r="B5" t="s">
        <v>113</v>
      </c>
      <c r="C5" t="s">
        <v>212</v>
      </c>
      <c r="D5">
        <v>121</v>
      </c>
      <c r="E5" t="s">
        <v>242</v>
      </c>
      <c r="F5">
        <v>896</v>
      </c>
      <c r="G5">
        <v>3879177514583</v>
      </c>
      <c r="H5" t="s">
        <v>246</v>
      </c>
      <c r="I5" t="s">
        <v>318</v>
      </c>
      <c r="J5" t="s">
        <v>334</v>
      </c>
      <c r="K5" t="s">
        <v>339</v>
      </c>
      <c r="L5">
        <f>tblInventory[[#This Row],[Price]] * tblInventory[[#This Row],[Stock]]</f>
        <v>108416</v>
      </c>
      <c r="M5" t="str">
        <f>IF(tblInventory[[#This Row],[Stock]]&lt;100,"Low","OK")</f>
        <v>OK</v>
      </c>
      <c r="N5" t="str">
        <f>IF(tblInventory[[#This Row],[Availability]]="In Stock","Available",
IF(tblInventory[[#This Row],[Availability]]="Pre-Order","Upcoming","Inactive"))</f>
        <v>Inactive</v>
      </c>
      <c r="O5" s="2">
        <f>IF(tblInventory[[#This Row],[Price Band]]="Low",1,
IF(tblInventory[[#This Row],[Price Band]]="Medium",2,3))</f>
        <v>1</v>
      </c>
    </row>
    <row r="6" spans="1:15" x14ac:dyDescent="0.3">
      <c r="A6" t="s">
        <v>15</v>
      </c>
      <c r="B6" t="s">
        <v>114</v>
      </c>
      <c r="C6" t="s">
        <v>213</v>
      </c>
      <c r="D6">
        <v>1</v>
      </c>
      <c r="E6" t="s">
        <v>242</v>
      </c>
      <c r="F6">
        <v>925</v>
      </c>
      <c r="G6">
        <v>9055773261265</v>
      </c>
      <c r="H6" t="s">
        <v>247</v>
      </c>
      <c r="I6" t="s">
        <v>319</v>
      </c>
      <c r="J6" t="s">
        <v>334</v>
      </c>
      <c r="K6" t="s">
        <v>339</v>
      </c>
      <c r="L6">
        <f>tblInventory[[#This Row],[Price]] * tblInventory[[#This Row],[Stock]]</f>
        <v>925</v>
      </c>
      <c r="M6" t="str">
        <f>IF(tblInventory[[#This Row],[Stock]]&lt;100,"Low","OK")</f>
        <v>OK</v>
      </c>
      <c r="N6" t="str">
        <f>IF(tblInventory[[#This Row],[Availability]]="In Stock","Available",
IF(tblInventory[[#This Row],[Availability]]="Pre-Order","Upcoming","Inactive"))</f>
        <v>Inactive</v>
      </c>
      <c r="O6" s="2">
        <f>IF(tblInventory[[#This Row],[Price Band]]="Low",1,
IF(tblInventory[[#This Row],[Price Band]]="Medium",2,3))</f>
        <v>1</v>
      </c>
    </row>
    <row r="7" spans="1:15" x14ac:dyDescent="0.3">
      <c r="A7" t="s">
        <v>16</v>
      </c>
      <c r="B7" t="s">
        <v>115</v>
      </c>
      <c r="C7" t="s">
        <v>214</v>
      </c>
      <c r="D7">
        <v>426</v>
      </c>
      <c r="E7" t="s">
        <v>242</v>
      </c>
      <c r="F7">
        <v>549</v>
      </c>
      <c r="G7">
        <v>1150028980156</v>
      </c>
      <c r="H7" t="s">
        <v>248</v>
      </c>
      <c r="I7" t="s">
        <v>320</v>
      </c>
      <c r="J7" t="s">
        <v>332</v>
      </c>
      <c r="K7" t="s">
        <v>322</v>
      </c>
      <c r="L7">
        <f>tblInventory[[#This Row],[Price]] * tblInventory[[#This Row],[Stock]]</f>
        <v>233874</v>
      </c>
      <c r="M7" t="str">
        <f>IF(tblInventory[[#This Row],[Stock]]&lt;100,"Low","OK")</f>
        <v>OK</v>
      </c>
      <c r="N7" t="str">
        <f>IF(tblInventory[[#This Row],[Availability]]="In Stock","Available",
IF(tblInventory[[#This Row],[Availability]]="Pre-Order","Upcoming","Inactive"))</f>
        <v>Upcoming</v>
      </c>
      <c r="O7" s="2">
        <f>IF(tblInventory[[#This Row],[Price Band]]="Low",1,
IF(tblInventory[[#This Row],[Price Band]]="Medium",2,3))</f>
        <v>2</v>
      </c>
    </row>
    <row r="8" spans="1:15" x14ac:dyDescent="0.3">
      <c r="A8" t="s">
        <v>17</v>
      </c>
      <c r="B8" t="s">
        <v>116</v>
      </c>
      <c r="C8" t="s">
        <v>215</v>
      </c>
      <c r="D8">
        <v>68</v>
      </c>
      <c r="E8" t="s">
        <v>242</v>
      </c>
      <c r="F8">
        <v>870</v>
      </c>
      <c r="G8">
        <v>5029747624534</v>
      </c>
      <c r="H8" t="s">
        <v>249</v>
      </c>
      <c r="I8" t="s">
        <v>321</v>
      </c>
      <c r="J8" t="s">
        <v>334</v>
      </c>
      <c r="K8" t="s">
        <v>339</v>
      </c>
      <c r="L8">
        <f>tblInventory[[#This Row],[Price]] * tblInventory[[#This Row],[Stock]]</f>
        <v>59160</v>
      </c>
      <c r="M8" t="str">
        <f>IF(tblInventory[[#This Row],[Stock]]&lt;100,"Low","OK")</f>
        <v>OK</v>
      </c>
      <c r="N8" t="str">
        <f>IF(tblInventory[[#This Row],[Availability]]="In Stock","Available",
IF(tblInventory[[#This Row],[Availability]]="Pre-Order","Upcoming","Inactive"))</f>
        <v>Inactive</v>
      </c>
      <c r="O8" s="2">
        <f>IF(tblInventory[[#This Row],[Price Band]]="Low",1,
IF(tblInventory[[#This Row],[Price Band]]="Medium",2,3))</f>
        <v>1</v>
      </c>
    </row>
    <row r="9" spans="1:15" x14ac:dyDescent="0.3">
      <c r="A9" t="s">
        <v>18</v>
      </c>
      <c r="B9" t="s">
        <v>117</v>
      </c>
      <c r="C9" t="s">
        <v>216</v>
      </c>
      <c r="D9">
        <v>159</v>
      </c>
      <c r="E9" t="s">
        <v>242</v>
      </c>
      <c r="F9">
        <v>584</v>
      </c>
      <c r="G9">
        <v>9883725074294</v>
      </c>
      <c r="H9" t="s">
        <v>250</v>
      </c>
      <c r="I9" t="s">
        <v>316</v>
      </c>
      <c r="J9" t="s">
        <v>332</v>
      </c>
      <c r="K9" t="s">
        <v>339</v>
      </c>
      <c r="L9">
        <f>tblInventory[[#This Row],[Price]] * tblInventory[[#This Row],[Stock]]</f>
        <v>92856</v>
      </c>
      <c r="M9" t="str">
        <f>IF(tblInventory[[#This Row],[Stock]]&lt;100,"Low","OK")</f>
        <v>OK</v>
      </c>
      <c r="N9" t="str">
        <f>IF(tblInventory[[#This Row],[Availability]]="In Stock","Available",
IF(tblInventory[[#This Row],[Availability]]="Pre-Order","Upcoming","Inactive"))</f>
        <v>Upcoming</v>
      </c>
      <c r="O9" s="2">
        <f>IF(tblInventory[[#This Row],[Price Band]]="Low",1,
IF(tblInventory[[#This Row],[Price Band]]="Medium",2,3))</f>
        <v>1</v>
      </c>
    </row>
    <row r="10" spans="1:15" x14ac:dyDescent="0.3">
      <c r="A10" t="s">
        <v>19</v>
      </c>
      <c r="B10" t="s">
        <v>118</v>
      </c>
      <c r="C10" t="s">
        <v>214</v>
      </c>
      <c r="D10">
        <v>454</v>
      </c>
      <c r="E10" t="s">
        <v>242</v>
      </c>
      <c r="F10">
        <v>499</v>
      </c>
      <c r="G10">
        <v>1773215338624</v>
      </c>
      <c r="H10" t="s">
        <v>251</v>
      </c>
      <c r="I10" t="s">
        <v>322</v>
      </c>
      <c r="J10" t="s">
        <v>332</v>
      </c>
      <c r="K10" t="s">
        <v>322</v>
      </c>
      <c r="L10">
        <f>tblInventory[[#This Row],[Price]] * tblInventory[[#This Row],[Stock]]</f>
        <v>226546</v>
      </c>
      <c r="M10" t="str">
        <f>IF(tblInventory[[#This Row],[Stock]]&lt;100,"Low","OK")</f>
        <v>OK</v>
      </c>
      <c r="N10" t="str">
        <f>IF(tblInventory[[#This Row],[Availability]]="In Stock","Available",
IF(tblInventory[[#This Row],[Availability]]="Pre-Order","Upcoming","Inactive"))</f>
        <v>Upcoming</v>
      </c>
      <c r="O10" s="2">
        <f>IF(tblInventory[[#This Row],[Price Band]]="Low",1,
IF(tblInventory[[#This Row],[Price Band]]="Medium",2,3))</f>
        <v>2</v>
      </c>
    </row>
    <row r="11" spans="1:15" x14ac:dyDescent="0.3">
      <c r="A11" t="s">
        <v>20</v>
      </c>
      <c r="B11" t="s">
        <v>119</v>
      </c>
      <c r="C11" t="s">
        <v>217</v>
      </c>
      <c r="D11">
        <v>845</v>
      </c>
      <c r="E11" t="s">
        <v>242</v>
      </c>
      <c r="F11">
        <v>564</v>
      </c>
      <c r="G11">
        <v>4877111475333</v>
      </c>
      <c r="H11" t="s">
        <v>252</v>
      </c>
      <c r="I11" t="s">
        <v>323</v>
      </c>
      <c r="J11" t="s">
        <v>334</v>
      </c>
      <c r="K11" t="s">
        <v>338</v>
      </c>
      <c r="L11">
        <f>tblInventory[[#This Row],[Price]] * tblInventory[[#This Row],[Stock]]</f>
        <v>476580</v>
      </c>
      <c r="M11" t="str">
        <f>IF(tblInventory[[#This Row],[Stock]]&lt;100,"Low","OK")</f>
        <v>OK</v>
      </c>
      <c r="N11" t="str">
        <f>IF(tblInventory[[#This Row],[Availability]]="In Stock","Available",
IF(tblInventory[[#This Row],[Availability]]="Pre-Order","Upcoming","Inactive"))</f>
        <v>Inactive</v>
      </c>
      <c r="O11" s="2">
        <f>IF(tblInventory[[#This Row],[Price Band]]="Low",1,
IF(tblInventory[[#This Row],[Price Band]]="Medium",2,3))</f>
        <v>3</v>
      </c>
    </row>
    <row r="12" spans="1:15" x14ac:dyDescent="0.3">
      <c r="A12" t="s">
        <v>21</v>
      </c>
      <c r="B12" t="s">
        <v>120</v>
      </c>
      <c r="C12" t="s">
        <v>218</v>
      </c>
      <c r="D12">
        <v>257</v>
      </c>
      <c r="E12" t="s">
        <v>242</v>
      </c>
      <c r="F12">
        <v>168</v>
      </c>
      <c r="G12">
        <v>9680811891595</v>
      </c>
      <c r="H12" t="s">
        <v>253</v>
      </c>
      <c r="I12" t="s">
        <v>323</v>
      </c>
      <c r="J12" t="s">
        <v>332</v>
      </c>
      <c r="K12" t="s">
        <v>322</v>
      </c>
      <c r="L12">
        <f>tblInventory[[#This Row],[Price]] * tblInventory[[#This Row],[Stock]]</f>
        <v>43176</v>
      </c>
      <c r="M12" t="str">
        <f>IF(tblInventory[[#This Row],[Stock]]&lt;100,"Low","OK")</f>
        <v>OK</v>
      </c>
      <c r="N12" t="str">
        <f>IF(tblInventory[[#This Row],[Availability]]="In Stock","Available",
IF(tblInventory[[#This Row],[Availability]]="Pre-Order","Upcoming","Inactive"))</f>
        <v>Upcoming</v>
      </c>
      <c r="O12" s="2">
        <f>IF(tblInventory[[#This Row],[Price Band]]="Low",1,
IF(tblInventory[[#This Row],[Price Band]]="Medium",2,3))</f>
        <v>2</v>
      </c>
    </row>
    <row r="13" spans="1:15" x14ac:dyDescent="0.3">
      <c r="A13" t="s">
        <v>22</v>
      </c>
      <c r="B13" t="s">
        <v>121</v>
      </c>
      <c r="C13" t="s">
        <v>219</v>
      </c>
      <c r="D13">
        <v>221</v>
      </c>
      <c r="E13" t="s">
        <v>242</v>
      </c>
      <c r="F13">
        <v>672</v>
      </c>
      <c r="G13">
        <v>8567222480604</v>
      </c>
      <c r="H13" t="s">
        <v>254</v>
      </c>
      <c r="I13" t="s">
        <v>322</v>
      </c>
      <c r="J13" t="s">
        <v>332</v>
      </c>
      <c r="K13" t="s">
        <v>322</v>
      </c>
      <c r="L13">
        <f>tblInventory[[#This Row],[Price]] * tblInventory[[#This Row],[Stock]]</f>
        <v>148512</v>
      </c>
      <c r="M13" t="str">
        <f>IF(tblInventory[[#This Row],[Stock]]&lt;100,"Low","OK")</f>
        <v>OK</v>
      </c>
      <c r="N13" t="str">
        <f>IF(tblInventory[[#This Row],[Availability]]="In Stock","Available",
IF(tblInventory[[#This Row],[Availability]]="Pre-Order","Upcoming","Inactive"))</f>
        <v>Upcoming</v>
      </c>
      <c r="O13" s="2">
        <f>IF(tblInventory[[#This Row],[Price Band]]="Low",1,
IF(tblInventory[[#This Row],[Price Band]]="Medium",2,3))</f>
        <v>2</v>
      </c>
    </row>
    <row r="14" spans="1:15" x14ac:dyDescent="0.3">
      <c r="A14" t="s">
        <v>23</v>
      </c>
      <c r="B14" t="s">
        <v>122</v>
      </c>
      <c r="C14" t="s">
        <v>220</v>
      </c>
      <c r="D14">
        <v>689</v>
      </c>
      <c r="E14" t="s">
        <v>242</v>
      </c>
      <c r="F14">
        <v>156</v>
      </c>
      <c r="G14">
        <v>5686660235911</v>
      </c>
      <c r="H14" t="s">
        <v>255</v>
      </c>
      <c r="I14" t="s">
        <v>318</v>
      </c>
      <c r="J14" t="s">
        <v>332</v>
      </c>
      <c r="K14" t="s">
        <v>338</v>
      </c>
      <c r="L14">
        <f>tblInventory[[#This Row],[Price]] * tblInventory[[#This Row],[Stock]]</f>
        <v>107484</v>
      </c>
      <c r="M14" t="str">
        <f>IF(tblInventory[[#This Row],[Stock]]&lt;100,"Low","OK")</f>
        <v>OK</v>
      </c>
      <c r="N14" t="str">
        <f>IF(tblInventory[[#This Row],[Availability]]="In Stock","Available",
IF(tblInventory[[#This Row],[Availability]]="Pre-Order","Upcoming","Inactive"))</f>
        <v>Upcoming</v>
      </c>
      <c r="O14" s="2">
        <f>IF(tblInventory[[#This Row],[Price Band]]="Low",1,
IF(tblInventory[[#This Row],[Price Band]]="Medium",2,3))</f>
        <v>3</v>
      </c>
    </row>
    <row r="15" spans="1:15" x14ac:dyDescent="0.3">
      <c r="A15" t="s">
        <v>24</v>
      </c>
      <c r="B15" t="s">
        <v>123</v>
      </c>
      <c r="C15" t="s">
        <v>216</v>
      </c>
      <c r="D15">
        <v>279</v>
      </c>
      <c r="E15" t="s">
        <v>242</v>
      </c>
      <c r="F15">
        <v>818</v>
      </c>
      <c r="G15">
        <v>1941032767914</v>
      </c>
      <c r="H15" t="s">
        <v>256</v>
      </c>
      <c r="I15" t="s">
        <v>324</v>
      </c>
      <c r="J15" t="s">
        <v>332</v>
      </c>
      <c r="K15" t="s">
        <v>322</v>
      </c>
      <c r="L15">
        <f>tblInventory[[#This Row],[Price]] * tblInventory[[#This Row],[Stock]]</f>
        <v>228222</v>
      </c>
      <c r="M15" t="str">
        <f>IF(tblInventory[[#This Row],[Stock]]&lt;100,"Low","OK")</f>
        <v>OK</v>
      </c>
      <c r="N15" t="str">
        <f>IF(tblInventory[[#This Row],[Availability]]="In Stock","Available",
IF(tblInventory[[#This Row],[Availability]]="Pre-Order","Upcoming","Inactive"))</f>
        <v>Upcoming</v>
      </c>
      <c r="O15" s="2">
        <f>IF(tblInventory[[#This Row],[Price Band]]="Low",1,
IF(tblInventory[[#This Row],[Price Band]]="Medium",2,3))</f>
        <v>2</v>
      </c>
    </row>
    <row r="16" spans="1:15" x14ac:dyDescent="0.3">
      <c r="A16" t="s">
        <v>25</v>
      </c>
      <c r="B16" t="s">
        <v>124</v>
      </c>
      <c r="C16" t="s">
        <v>219</v>
      </c>
      <c r="D16">
        <v>101</v>
      </c>
      <c r="E16" t="s">
        <v>242</v>
      </c>
      <c r="F16">
        <v>159</v>
      </c>
      <c r="G16">
        <v>1438856474369</v>
      </c>
      <c r="H16" t="s">
        <v>257</v>
      </c>
      <c r="I16" t="s">
        <v>320</v>
      </c>
      <c r="J16" t="s">
        <v>332</v>
      </c>
      <c r="K16" t="s">
        <v>339</v>
      </c>
      <c r="L16">
        <f>tblInventory[[#This Row],[Price]] * tblInventory[[#This Row],[Stock]]</f>
        <v>16059</v>
      </c>
      <c r="M16" t="str">
        <f>IF(tblInventory[[#This Row],[Stock]]&lt;100,"Low","OK")</f>
        <v>OK</v>
      </c>
      <c r="N16" t="str">
        <f>IF(tblInventory[[#This Row],[Availability]]="In Stock","Available",
IF(tblInventory[[#This Row],[Availability]]="Pre-Order","Upcoming","Inactive"))</f>
        <v>Upcoming</v>
      </c>
      <c r="O16" s="2">
        <f>IF(tblInventory[[#This Row],[Price Band]]="Low",1,
IF(tblInventory[[#This Row],[Price Band]]="Medium",2,3))</f>
        <v>1</v>
      </c>
    </row>
    <row r="17" spans="1:15" x14ac:dyDescent="0.3">
      <c r="A17" t="s">
        <v>26</v>
      </c>
      <c r="B17" t="s">
        <v>125</v>
      </c>
      <c r="C17" t="s">
        <v>221</v>
      </c>
      <c r="D17">
        <v>316</v>
      </c>
      <c r="E17" t="s">
        <v>242</v>
      </c>
      <c r="F17">
        <v>329</v>
      </c>
      <c r="G17">
        <v>3500722785805</v>
      </c>
      <c r="H17" t="s">
        <v>258</v>
      </c>
      <c r="I17" t="s">
        <v>325</v>
      </c>
      <c r="J17" t="s">
        <v>335</v>
      </c>
      <c r="K17" t="s">
        <v>322</v>
      </c>
      <c r="L17">
        <f>tblInventory[[#This Row],[Price]] * tblInventory[[#This Row],[Stock]]</f>
        <v>103964</v>
      </c>
      <c r="M17" t="str">
        <f>IF(tblInventory[[#This Row],[Stock]]&lt;100,"Low","OK")</f>
        <v>OK</v>
      </c>
      <c r="N17" t="str">
        <f>IF(tblInventory[[#This Row],[Availability]]="In Stock","Available",
IF(tblInventory[[#This Row],[Availability]]="Pre-Order","Upcoming","Inactive"))</f>
        <v>Inactive</v>
      </c>
      <c r="O17" s="2">
        <f>IF(tblInventory[[#This Row],[Price Band]]="Low",1,
IF(tblInventory[[#This Row],[Price Band]]="Medium",2,3))</f>
        <v>2</v>
      </c>
    </row>
    <row r="18" spans="1:15" x14ac:dyDescent="0.3">
      <c r="A18" t="s">
        <v>27</v>
      </c>
      <c r="B18" t="s">
        <v>126</v>
      </c>
      <c r="C18" t="s">
        <v>216</v>
      </c>
      <c r="D18">
        <v>982</v>
      </c>
      <c r="E18" t="s">
        <v>242</v>
      </c>
      <c r="F18">
        <v>47</v>
      </c>
      <c r="G18">
        <v>7887280730963</v>
      </c>
      <c r="H18" t="s">
        <v>259</v>
      </c>
      <c r="I18" t="s">
        <v>326</v>
      </c>
      <c r="J18" t="s">
        <v>336</v>
      </c>
      <c r="K18" t="s">
        <v>338</v>
      </c>
      <c r="L18">
        <f>tblInventory[[#This Row],[Price]] * tblInventory[[#This Row],[Stock]]</f>
        <v>46154</v>
      </c>
      <c r="M18" t="str">
        <f>IF(tblInventory[[#This Row],[Stock]]&lt;100,"Low","OK")</f>
        <v>Low</v>
      </c>
      <c r="N18" t="str">
        <f>IF(tblInventory[[#This Row],[Availability]]="In Stock","Available",
IF(tblInventory[[#This Row],[Availability]]="Pre-Order","Upcoming","Inactive"))</f>
        <v>Inactive</v>
      </c>
      <c r="O18" s="2">
        <f>IF(tblInventory[[#This Row],[Price Band]]="Low",1,
IF(tblInventory[[#This Row],[Price Band]]="Medium",2,3))</f>
        <v>3</v>
      </c>
    </row>
    <row r="19" spans="1:15" x14ac:dyDescent="0.3">
      <c r="A19" t="s">
        <v>28</v>
      </c>
      <c r="B19" t="s">
        <v>127</v>
      </c>
      <c r="C19" t="s">
        <v>218</v>
      </c>
      <c r="D19">
        <v>3</v>
      </c>
      <c r="E19" t="s">
        <v>242</v>
      </c>
      <c r="F19">
        <v>732</v>
      </c>
      <c r="G19">
        <v>4170125892616</v>
      </c>
      <c r="H19" t="s">
        <v>260</v>
      </c>
      <c r="I19" t="s">
        <v>327</v>
      </c>
      <c r="J19" t="s">
        <v>337</v>
      </c>
      <c r="K19" t="s">
        <v>339</v>
      </c>
      <c r="L19">
        <f>tblInventory[[#This Row],[Price]] * tblInventory[[#This Row],[Stock]]</f>
        <v>2196</v>
      </c>
      <c r="M19" t="str">
        <f>IF(tblInventory[[#This Row],[Stock]]&lt;100,"Low","OK")</f>
        <v>OK</v>
      </c>
      <c r="N19" t="str">
        <f>IF(tblInventory[[#This Row],[Availability]]="In Stock","Available",
IF(tblInventory[[#This Row],[Availability]]="Pre-Order","Upcoming","Inactive"))</f>
        <v>Inactive</v>
      </c>
      <c r="O19" s="2">
        <f>IF(tblInventory[[#This Row],[Price Band]]="Low",1,
IF(tblInventory[[#This Row],[Price Band]]="Medium",2,3))</f>
        <v>1</v>
      </c>
    </row>
    <row r="20" spans="1:15" x14ac:dyDescent="0.3">
      <c r="A20" t="s">
        <v>29</v>
      </c>
      <c r="B20" t="s">
        <v>128</v>
      </c>
      <c r="C20" t="s">
        <v>219</v>
      </c>
      <c r="D20">
        <v>340</v>
      </c>
      <c r="E20" t="s">
        <v>242</v>
      </c>
      <c r="F20">
        <v>618</v>
      </c>
      <c r="G20">
        <v>6340907128242</v>
      </c>
      <c r="H20" t="s">
        <v>261</v>
      </c>
      <c r="I20" t="s">
        <v>321</v>
      </c>
      <c r="J20" t="s">
        <v>335</v>
      </c>
      <c r="K20" t="s">
        <v>322</v>
      </c>
      <c r="L20">
        <f>tblInventory[[#This Row],[Price]] * tblInventory[[#This Row],[Stock]]</f>
        <v>210120</v>
      </c>
      <c r="M20" t="str">
        <f>IF(tblInventory[[#This Row],[Stock]]&lt;100,"Low","OK")</f>
        <v>OK</v>
      </c>
      <c r="N20" t="str">
        <f>IF(tblInventory[[#This Row],[Availability]]="In Stock","Available",
IF(tblInventory[[#This Row],[Availability]]="Pre-Order","Upcoming","Inactive"))</f>
        <v>Inactive</v>
      </c>
      <c r="O20" s="2">
        <f>IF(tblInventory[[#This Row],[Price Band]]="Low",1,
IF(tblInventory[[#This Row],[Price Band]]="Medium",2,3))</f>
        <v>2</v>
      </c>
    </row>
    <row r="21" spans="1:15" x14ac:dyDescent="0.3">
      <c r="A21" t="s">
        <v>30</v>
      </c>
      <c r="B21" t="s">
        <v>129</v>
      </c>
      <c r="C21" t="s">
        <v>222</v>
      </c>
      <c r="D21">
        <v>529</v>
      </c>
      <c r="E21" t="s">
        <v>242</v>
      </c>
      <c r="F21">
        <v>844</v>
      </c>
      <c r="G21">
        <v>267078141619</v>
      </c>
      <c r="H21" t="s">
        <v>262</v>
      </c>
      <c r="I21" t="s">
        <v>317</v>
      </c>
      <c r="J21" t="s">
        <v>337</v>
      </c>
      <c r="K21" t="s">
        <v>338</v>
      </c>
      <c r="L21">
        <f>tblInventory[[#This Row],[Price]] * tblInventory[[#This Row],[Stock]]</f>
        <v>446476</v>
      </c>
      <c r="M21" t="str">
        <f>IF(tblInventory[[#This Row],[Stock]]&lt;100,"Low","OK")</f>
        <v>OK</v>
      </c>
      <c r="N21" t="str">
        <f>IF(tblInventory[[#This Row],[Availability]]="In Stock","Available",
IF(tblInventory[[#This Row],[Availability]]="Pre-Order","Upcoming","Inactive"))</f>
        <v>Inactive</v>
      </c>
      <c r="O21" s="2">
        <f>IF(tblInventory[[#This Row],[Price Band]]="Low",1,
IF(tblInventory[[#This Row],[Price Band]]="Medium",2,3))</f>
        <v>3</v>
      </c>
    </row>
    <row r="22" spans="1:15" x14ac:dyDescent="0.3">
      <c r="A22" t="s">
        <v>31</v>
      </c>
      <c r="B22" t="s">
        <v>130</v>
      </c>
      <c r="C22" t="s">
        <v>223</v>
      </c>
      <c r="D22">
        <v>197</v>
      </c>
      <c r="E22" t="s">
        <v>242</v>
      </c>
      <c r="F22">
        <v>163</v>
      </c>
      <c r="G22">
        <v>963840013930</v>
      </c>
      <c r="H22" t="s">
        <v>263</v>
      </c>
      <c r="I22" t="s">
        <v>318</v>
      </c>
      <c r="J22" t="s">
        <v>333</v>
      </c>
      <c r="K22" t="s">
        <v>339</v>
      </c>
      <c r="L22">
        <f>tblInventory[[#This Row],[Price]] * tblInventory[[#This Row],[Stock]]</f>
        <v>32111</v>
      </c>
      <c r="M22" t="str">
        <f>IF(tblInventory[[#This Row],[Stock]]&lt;100,"Low","OK")</f>
        <v>OK</v>
      </c>
      <c r="N22" t="str">
        <f>IF(tblInventory[[#This Row],[Availability]]="In Stock","Available",
IF(tblInventory[[#This Row],[Availability]]="Pre-Order","Upcoming","Inactive"))</f>
        <v>Available</v>
      </c>
      <c r="O22" s="2">
        <f>IF(tblInventory[[#This Row],[Price Band]]="Low",1,
IF(tblInventory[[#This Row],[Price Band]]="Medium",2,3))</f>
        <v>1</v>
      </c>
    </row>
    <row r="23" spans="1:15" x14ac:dyDescent="0.3">
      <c r="A23" t="s">
        <v>32</v>
      </c>
      <c r="B23" t="s">
        <v>131</v>
      </c>
      <c r="C23" t="s">
        <v>224</v>
      </c>
      <c r="D23">
        <v>677</v>
      </c>
      <c r="E23" t="s">
        <v>242</v>
      </c>
      <c r="F23">
        <v>418</v>
      </c>
      <c r="G23">
        <v>3918763032312</v>
      </c>
      <c r="H23" t="s">
        <v>264</v>
      </c>
      <c r="I23" t="s">
        <v>328</v>
      </c>
      <c r="J23" t="s">
        <v>336</v>
      </c>
      <c r="K23" t="s">
        <v>338</v>
      </c>
      <c r="L23">
        <f>tblInventory[[#This Row],[Price]] * tblInventory[[#This Row],[Stock]]</f>
        <v>282986</v>
      </c>
      <c r="M23" t="str">
        <f>IF(tblInventory[[#This Row],[Stock]]&lt;100,"Low","OK")</f>
        <v>OK</v>
      </c>
      <c r="N23" t="str">
        <f>IF(tblInventory[[#This Row],[Availability]]="In Stock","Available",
IF(tblInventory[[#This Row],[Availability]]="Pre-Order","Upcoming","Inactive"))</f>
        <v>Inactive</v>
      </c>
      <c r="O23" s="2">
        <f>IF(tblInventory[[#This Row],[Price Band]]="Low",1,
IF(tblInventory[[#This Row],[Price Band]]="Medium",2,3))</f>
        <v>3</v>
      </c>
    </row>
    <row r="24" spans="1:15" x14ac:dyDescent="0.3">
      <c r="A24" t="s">
        <v>33</v>
      </c>
      <c r="B24" t="s">
        <v>132</v>
      </c>
      <c r="C24" t="s">
        <v>214</v>
      </c>
      <c r="D24">
        <v>664</v>
      </c>
      <c r="E24" t="s">
        <v>242</v>
      </c>
      <c r="F24">
        <v>577</v>
      </c>
      <c r="G24">
        <v>1824359393441</v>
      </c>
      <c r="H24" t="s">
        <v>265</v>
      </c>
      <c r="I24" t="s">
        <v>318</v>
      </c>
      <c r="J24" t="s">
        <v>332</v>
      </c>
      <c r="K24" t="s">
        <v>338</v>
      </c>
      <c r="L24">
        <f>tblInventory[[#This Row],[Price]] * tblInventory[[#This Row],[Stock]]</f>
        <v>383128</v>
      </c>
      <c r="M24" t="str">
        <f>IF(tblInventory[[#This Row],[Stock]]&lt;100,"Low","OK")</f>
        <v>OK</v>
      </c>
      <c r="N24" t="str">
        <f>IF(tblInventory[[#This Row],[Availability]]="In Stock","Available",
IF(tblInventory[[#This Row],[Availability]]="Pre-Order","Upcoming","Inactive"))</f>
        <v>Upcoming</v>
      </c>
      <c r="O24" s="2">
        <f>IF(tblInventory[[#This Row],[Price Band]]="Low",1,
IF(tblInventory[[#This Row],[Price Band]]="Medium",2,3))</f>
        <v>3</v>
      </c>
    </row>
    <row r="25" spans="1:15" x14ac:dyDescent="0.3">
      <c r="A25" t="s">
        <v>34</v>
      </c>
      <c r="B25" t="s">
        <v>133</v>
      </c>
      <c r="C25" t="s">
        <v>225</v>
      </c>
      <c r="D25">
        <v>784</v>
      </c>
      <c r="E25" t="s">
        <v>242</v>
      </c>
      <c r="F25">
        <v>510</v>
      </c>
      <c r="G25">
        <v>9839666739792</v>
      </c>
      <c r="H25" t="s">
        <v>251</v>
      </c>
      <c r="I25" t="s">
        <v>318</v>
      </c>
      <c r="J25" t="s">
        <v>337</v>
      </c>
      <c r="K25" t="s">
        <v>338</v>
      </c>
      <c r="L25">
        <f>tblInventory[[#This Row],[Price]] * tblInventory[[#This Row],[Stock]]</f>
        <v>399840</v>
      </c>
      <c r="M25" t="str">
        <f>IF(tblInventory[[#This Row],[Stock]]&lt;100,"Low","OK")</f>
        <v>OK</v>
      </c>
      <c r="N25" t="str">
        <f>IF(tblInventory[[#This Row],[Availability]]="In Stock","Available",
IF(tblInventory[[#This Row],[Availability]]="Pre-Order","Upcoming","Inactive"))</f>
        <v>Inactive</v>
      </c>
      <c r="O25" s="2">
        <f>IF(tblInventory[[#This Row],[Price Band]]="Low",1,
IF(tblInventory[[#This Row],[Price Band]]="Medium",2,3))</f>
        <v>3</v>
      </c>
    </row>
    <row r="26" spans="1:15" x14ac:dyDescent="0.3">
      <c r="A26" t="s">
        <v>35</v>
      </c>
      <c r="B26" t="s">
        <v>134</v>
      </c>
      <c r="C26" t="s">
        <v>218</v>
      </c>
      <c r="D26">
        <v>900</v>
      </c>
      <c r="E26" t="s">
        <v>242</v>
      </c>
      <c r="F26">
        <v>623</v>
      </c>
      <c r="G26">
        <v>6501687247749</v>
      </c>
      <c r="H26" t="s">
        <v>246</v>
      </c>
      <c r="I26" t="s">
        <v>325</v>
      </c>
      <c r="J26" t="s">
        <v>336</v>
      </c>
      <c r="K26" t="s">
        <v>338</v>
      </c>
      <c r="L26">
        <f>tblInventory[[#This Row],[Price]] * tblInventory[[#This Row],[Stock]]</f>
        <v>560700</v>
      </c>
      <c r="M26" t="str">
        <f>IF(tblInventory[[#This Row],[Stock]]&lt;100,"Low","OK")</f>
        <v>OK</v>
      </c>
      <c r="N26" t="str">
        <f>IF(tblInventory[[#This Row],[Availability]]="In Stock","Available",
IF(tblInventory[[#This Row],[Availability]]="Pre-Order","Upcoming","Inactive"))</f>
        <v>Inactive</v>
      </c>
      <c r="O26" s="2">
        <f>IF(tblInventory[[#This Row],[Price Band]]="Low",1,
IF(tblInventory[[#This Row],[Price Band]]="Medium",2,3))</f>
        <v>3</v>
      </c>
    </row>
    <row r="27" spans="1:15" x14ac:dyDescent="0.3">
      <c r="A27" t="s">
        <v>36</v>
      </c>
      <c r="B27" t="s">
        <v>135</v>
      </c>
      <c r="C27" t="s">
        <v>220</v>
      </c>
      <c r="D27">
        <v>909</v>
      </c>
      <c r="E27" t="s">
        <v>242</v>
      </c>
      <c r="F27">
        <v>797</v>
      </c>
      <c r="G27">
        <v>9496081864722</v>
      </c>
      <c r="H27" t="s">
        <v>266</v>
      </c>
      <c r="I27" t="s">
        <v>324</v>
      </c>
      <c r="J27" t="s">
        <v>335</v>
      </c>
      <c r="K27" t="s">
        <v>338</v>
      </c>
      <c r="L27">
        <f>tblInventory[[#This Row],[Price]] * tblInventory[[#This Row],[Stock]]</f>
        <v>724473</v>
      </c>
      <c r="M27" t="str">
        <f>IF(tblInventory[[#This Row],[Stock]]&lt;100,"Low","OK")</f>
        <v>OK</v>
      </c>
      <c r="N27" t="str">
        <f>IF(tblInventory[[#This Row],[Availability]]="In Stock","Available",
IF(tblInventory[[#This Row],[Availability]]="Pre-Order","Upcoming","Inactive"))</f>
        <v>Inactive</v>
      </c>
      <c r="O27" s="2">
        <f>IF(tblInventory[[#This Row],[Price Band]]="Low",1,
IF(tblInventory[[#This Row],[Price Band]]="Medium",2,3))</f>
        <v>3</v>
      </c>
    </row>
    <row r="28" spans="1:15" x14ac:dyDescent="0.3">
      <c r="A28" t="s">
        <v>37</v>
      </c>
      <c r="B28" t="s">
        <v>136</v>
      </c>
      <c r="C28" t="s">
        <v>216</v>
      </c>
      <c r="D28">
        <v>350</v>
      </c>
      <c r="E28" t="s">
        <v>242</v>
      </c>
      <c r="F28">
        <v>756</v>
      </c>
      <c r="G28">
        <v>3486711401836</v>
      </c>
      <c r="H28" t="s">
        <v>267</v>
      </c>
      <c r="I28" t="s">
        <v>326</v>
      </c>
      <c r="J28" t="s">
        <v>332</v>
      </c>
      <c r="K28" t="s">
        <v>322</v>
      </c>
      <c r="L28">
        <f>tblInventory[[#This Row],[Price]] * tblInventory[[#This Row],[Stock]]</f>
        <v>264600</v>
      </c>
      <c r="M28" t="str">
        <f>IF(tblInventory[[#This Row],[Stock]]&lt;100,"Low","OK")</f>
        <v>OK</v>
      </c>
      <c r="N28" t="str">
        <f>IF(tblInventory[[#This Row],[Availability]]="In Stock","Available",
IF(tblInventory[[#This Row],[Availability]]="Pre-Order","Upcoming","Inactive"))</f>
        <v>Upcoming</v>
      </c>
      <c r="O28" s="2">
        <f>IF(tblInventory[[#This Row],[Price Band]]="Low",1,
IF(tblInventory[[#This Row],[Price Band]]="Medium",2,3))</f>
        <v>2</v>
      </c>
    </row>
    <row r="29" spans="1:15" x14ac:dyDescent="0.3">
      <c r="A29" t="s">
        <v>38</v>
      </c>
      <c r="B29" t="s">
        <v>137</v>
      </c>
      <c r="C29" t="s">
        <v>226</v>
      </c>
      <c r="D29">
        <v>858</v>
      </c>
      <c r="E29" t="s">
        <v>242</v>
      </c>
      <c r="F29">
        <v>912</v>
      </c>
      <c r="G29">
        <v>7097613907430</v>
      </c>
      <c r="H29" t="s">
        <v>268</v>
      </c>
      <c r="I29" t="s">
        <v>329</v>
      </c>
      <c r="J29" t="s">
        <v>335</v>
      </c>
      <c r="K29" t="s">
        <v>338</v>
      </c>
      <c r="L29">
        <f>tblInventory[[#This Row],[Price]] * tblInventory[[#This Row],[Stock]]</f>
        <v>782496</v>
      </c>
      <c r="M29" t="str">
        <f>IF(tblInventory[[#This Row],[Stock]]&lt;100,"Low","OK")</f>
        <v>OK</v>
      </c>
      <c r="N29" t="str">
        <f>IF(tblInventory[[#This Row],[Availability]]="In Stock","Available",
IF(tblInventory[[#This Row],[Availability]]="Pre-Order","Upcoming","Inactive"))</f>
        <v>Inactive</v>
      </c>
      <c r="O29" s="2">
        <f>IF(tblInventory[[#This Row],[Price Band]]="Low",1,
IF(tblInventory[[#This Row],[Price Band]]="Medium",2,3))</f>
        <v>3</v>
      </c>
    </row>
    <row r="30" spans="1:15" x14ac:dyDescent="0.3">
      <c r="A30" t="s">
        <v>39</v>
      </c>
      <c r="B30" t="s">
        <v>138</v>
      </c>
      <c r="C30" t="s">
        <v>227</v>
      </c>
      <c r="D30">
        <v>985</v>
      </c>
      <c r="E30" t="s">
        <v>242</v>
      </c>
      <c r="F30">
        <v>180</v>
      </c>
      <c r="G30">
        <v>8301096575048</v>
      </c>
      <c r="H30" t="s">
        <v>269</v>
      </c>
      <c r="I30" t="s">
        <v>323</v>
      </c>
      <c r="J30" t="s">
        <v>333</v>
      </c>
      <c r="K30" t="s">
        <v>338</v>
      </c>
      <c r="L30">
        <f>tblInventory[[#This Row],[Price]] * tblInventory[[#This Row],[Stock]]</f>
        <v>177300</v>
      </c>
      <c r="M30" t="str">
        <f>IF(tblInventory[[#This Row],[Stock]]&lt;100,"Low","OK")</f>
        <v>OK</v>
      </c>
      <c r="N30" t="str">
        <f>IF(tblInventory[[#This Row],[Availability]]="In Stock","Available",
IF(tblInventory[[#This Row],[Availability]]="Pre-Order","Upcoming","Inactive"))</f>
        <v>Available</v>
      </c>
      <c r="O30" s="2">
        <f>IF(tblInventory[[#This Row],[Price Band]]="Low",1,
IF(tblInventory[[#This Row],[Price Band]]="Medium",2,3))</f>
        <v>3</v>
      </c>
    </row>
    <row r="31" spans="1:15" x14ac:dyDescent="0.3">
      <c r="A31" t="s">
        <v>40</v>
      </c>
      <c r="B31" t="s">
        <v>139</v>
      </c>
      <c r="C31" t="s">
        <v>213</v>
      </c>
      <c r="D31">
        <v>576</v>
      </c>
      <c r="E31" t="s">
        <v>242</v>
      </c>
      <c r="F31">
        <v>988</v>
      </c>
      <c r="G31">
        <v>6639325474032</v>
      </c>
      <c r="H31" t="s">
        <v>270</v>
      </c>
      <c r="I31" t="s">
        <v>318</v>
      </c>
      <c r="J31" t="s">
        <v>332</v>
      </c>
      <c r="K31" t="s">
        <v>338</v>
      </c>
      <c r="L31">
        <f>tblInventory[[#This Row],[Price]] * tblInventory[[#This Row],[Stock]]</f>
        <v>569088</v>
      </c>
      <c r="M31" t="str">
        <f>IF(tblInventory[[#This Row],[Stock]]&lt;100,"Low","OK")</f>
        <v>OK</v>
      </c>
      <c r="N31" t="str">
        <f>IF(tblInventory[[#This Row],[Availability]]="In Stock","Available",
IF(tblInventory[[#This Row],[Availability]]="Pre-Order","Upcoming","Inactive"))</f>
        <v>Upcoming</v>
      </c>
      <c r="O31" s="2">
        <f>IF(tblInventory[[#This Row],[Price Band]]="Low",1,
IF(tblInventory[[#This Row],[Price Band]]="Medium",2,3))</f>
        <v>3</v>
      </c>
    </row>
    <row r="32" spans="1:15" x14ac:dyDescent="0.3">
      <c r="A32" t="s">
        <v>41</v>
      </c>
      <c r="B32" t="s">
        <v>140</v>
      </c>
      <c r="C32" t="s">
        <v>228</v>
      </c>
      <c r="D32">
        <v>102</v>
      </c>
      <c r="E32" t="s">
        <v>242</v>
      </c>
      <c r="F32">
        <v>669</v>
      </c>
      <c r="G32">
        <v>5564792899662</v>
      </c>
      <c r="H32" t="s">
        <v>271</v>
      </c>
      <c r="I32" t="s">
        <v>318</v>
      </c>
      <c r="J32" t="s">
        <v>335</v>
      </c>
      <c r="K32" t="s">
        <v>339</v>
      </c>
      <c r="L32">
        <f>tblInventory[[#This Row],[Price]] * tblInventory[[#This Row],[Stock]]</f>
        <v>68238</v>
      </c>
      <c r="M32" t="str">
        <f>IF(tblInventory[[#This Row],[Stock]]&lt;100,"Low","OK")</f>
        <v>OK</v>
      </c>
      <c r="N32" t="str">
        <f>IF(tblInventory[[#This Row],[Availability]]="In Stock","Available",
IF(tblInventory[[#This Row],[Availability]]="Pre-Order","Upcoming","Inactive"))</f>
        <v>Inactive</v>
      </c>
      <c r="O32" s="2">
        <f>IF(tblInventory[[#This Row],[Price Band]]="Low",1,
IF(tblInventory[[#This Row],[Price Band]]="Medium",2,3))</f>
        <v>1</v>
      </c>
    </row>
    <row r="33" spans="1:15" x14ac:dyDescent="0.3">
      <c r="A33" t="s">
        <v>42</v>
      </c>
      <c r="B33" t="s">
        <v>141</v>
      </c>
      <c r="C33" t="s">
        <v>229</v>
      </c>
      <c r="D33">
        <v>283</v>
      </c>
      <c r="E33" t="s">
        <v>242</v>
      </c>
      <c r="F33">
        <v>343</v>
      </c>
      <c r="G33">
        <v>9921752342730</v>
      </c>
      <c r="H33" t="s">
        <v>272</v>
      </c>
      <c r="I33" t="s">
        <v>321</v>
      </c>
      <c r="J33" t="s">
        <v>332</v>
      </c>
      <c r="K33" t="s">
        <v>322</v>
      </c>
      <c r="L33">
        <f>tblInventory[[#This Row],[Price]] * tblInventory[[#This Row],[Stock]]</f>
        <v>97069</v>
      </c>
      <c r="M33" t="str">
        <f>IF(tblInventory[[#This Row],[Stock]]&lt;100,"Low","OK")</f>
        <v>OK</v>
      </c>
      <c r="N33" t="str">
        <f>IF(tblInventory[[#This Row],[Availability]]="In Stock","Available",
IF(tblInventory[[#This Row],[Availability]]="Pre-Order","Upcoming","Inactive"))</f>
        <v>Upcoming</v>
      </c>
      <c r="O33" s="2">
        <f>IF(tblInventory[[#This Row],[Price Band]]="Low",1,
IF(tblInventory[[#This Row],[Price Band]]="Medium",2,3))</f>
        <v>2</v>
      </c>
    </row>
    <row r="34" spans="1:15" x14ac:dyDescent="0.3">
      <c r="A34" t="s">
        <v>43</v>
      </c>
      <c r="B34" t="s">
        <v>142</v>
      </c>
      <c r="C34" t="s">
        <v>222</v>
      </c>
      <c r="D34">
        <v>904</v>
      </c>
      <c r="E34" t="s">
        <v>242</v>
      </c>
      <c r="F34">
        <v>532</v>
      </c>
      <c r="G34">
        <v>7107438924403</v>
      </c>
      <c r="H34" t="s">
        <v>273</v>
      </c>
      <c r="I34" t="s">
        <v>323</v>
      </c>
      <c r="J34" t="s">
        <v>335</v>
      </c>
      <c r="K34" t="s">
        <v>338</v>
      </c>
      <c r="L34">
        <f>tblInventory[[#This Row],[Price]] * tblInventory[[#This Row],[Stock]]</f>
        <v>480928</v>
      </c>
      <c r="M34" t="str">
        <f>IF(tblInventory[[#This Row],[Stock]]&lt;100,"Low","OK")</f>
        <v>OK</v>
      </c>
      <c r="N34" t="str">
        <f>IF(tblInventory[[#This Row],[Availability]]="In Stock","Available",
IF(tblInventory[[#This Row],[Availability]]="Pre-Order","Upcoming","Inactive"))</f>
        <v>Inactive</v>
      </c>
      <c r="O34" s="2">
        <f>IF(tblInventory[[#This Row],[Price Band]]="Low",1,
IF(tblInventory[[#This Row],[Price Band]]="Medium",2,3))</f>
        <v>3</v>
      </c>
    </row>
    <row r="35" spans="1:15" x14ac:dyDescent="0.3">
      <c r="A35" t="s">
        <v>44</v>
      </c>
      <c r="B35" t="s">
        <v>143</v>
      </c>
      <c r="C35" t="s">
        <v>213</v>
      </c>
      <c r="D35">
        <v>407</v>
      </c>
      <c r="E35" t="s">
        <v>242</v>
      </c>
      <c r="F35">
        <v>285</v>
      </c>
      <c r="G35">
        <v>2327483415120</v>
      </c>
      <c r="H35" t="s">
        <v>274</v>
      </c>
      <c r="I35" t="s">
        <v>316</v>
      </c>
      <c r="J35" t="s">
        <v>336</v>
      </c>
      <c r="K35" t="s">
        <v>322</v>
      </c>
      <c r="L35">
        <f>tblInventory[[#This Row],[Price]] * tblInventory[[#This Row],[Stock]]</f>
        <v>115995</v>
      </c>
      <c r="M35" t="str">
        <f>IF(tblInventory[[#This Row],[Stock]]&lt;100,"Low","OK")</f>
        <v>OK</v>
      </c>
      <c r="N35" t="str">
        <f>IF(tblInventory[[#This Row],[Availability]]="In Stock","Available",
IF(tblInventory[[#This Row],[Availability]]="Pre-Order","Upcoming","Inactive"))</f>
        <v>Inactive</v>
      </c>
      <c r="O35" s="2">
        <f>IF(tblInventory[[#This Row],[Price Band]]="Low",1,
IF(tblInventory[[#This Row],[Price Band]]="Medium",2,3))</f>
        <v>2</v>
      </c>
    </row>
    <row r="36" spans="1:15" x14ac:dyDescent="0.3">
      <c r="A36" t="s">
        <v>45</v>
      </c>
      <c r="B36" t="s">
        <v>144</v>
      </c>
      <c r="C36" t="s">
        <v>211</v>
      </c>
      <c r="D36">
        <v>480</v>
      </c>
      <c r="E36" t="s">
        <v>242</v>
      </c>
      <c r="F36">
        <v>364</v>
      </c>
      <c r="G36">
        <v>6209821998907</v>
      </c>
      <c r="H36" t="s">
        <v>275</v>
      </c>
      <c r="I36" t="s">
        <v>323</v>
      </c>
      <c r="J36" t="s">
        <v>334</v>
      </c>
      <c r="K36" t="s">
        <v>322</v>
      </c>
      <c r="L36">
        <f>tblInventory[[#This Row],[Price]] * tblInventory[[#This Row],[Stock]]</f>
        <v>174720</v>
      </c>
      <c r="M36" t="str">
        <f>IF(tblInventory[[#This Row],[Stock]]&lt;100,"Low","OK")</f>
        <v>OK</v>
      </c>
      <c r="N36" t="str">
        <f>IF(tblInventory[[#This Row],[Availability]]="In Stock","Available",
IF(tblInventory[[#This Row],[Availability]]="Pre-Order","Upcoming","Inactive"))</f>
        <v>Inactive</v>
      </c>
      <c r="O36" s="2">
        <f>IF(tblInventory[[#This Row],[Price Band]]="Low",1,
IF(tblInventory[[#This Row],[Price Band]]="Medium",2,3))</f>
        <v>2</v>
      </c>
    </row>
    <row r="37" spans="1:15" x14ac:dyDescent="0.3">
      <c r="A37" t="s">
        <v>46</v>
      </c>
      <c r="B37" t="s">
        <v>145</v>
      </c>
      <c r="C37" t="s">
        <v>223</v>
      </c>
      <c r="D37">
        <v>635</v>
      </c>
      <c r="E37" t="s">
        <v>242</v>
      </c>
      <c r="F37">
        <v>727</v>
      </c>
      <c r="G37">
        <v>7883295446066</v>
      </c>
      <c r="H37" t="s">
        <v>276</v>
      </c>
      <c r="I37" t="s">
        <v>327</v>
      </c>
      <c r="J37" t="s">
        <v>337</v>
      </c>
      <c r="K37" t="s">
        <v>338</v>
      </c>
      <c r="L37">
        <f>tblInventory[[#This Row],[Price]] * tblInventory[[#This Row],[Stock]]</f>
        <v>461645</v>
      </c>
      <c r="M37" t="str">
        <f>IF(tblInventory[[#This Row],[Stock]]&lt;100,"Low","OK")</f>
        <v>OK</v>
      </c>
      <c r="N37" t="str">
        <f>IF(tblInventory[[#This Row],[Availability]]="In Stock","Available",
IF(tblInventory[[#This Row],[Availability]]="Pre-Order","Upcoming","Inactive"))</f>
        <v>Inactive</v>
      </c>
      <c r="O37" s="2">
        <f>IF(tblInventory[[#This Row],[Price Band]]="Low",1,
IF(tblInventory[[#This Row],[Price Band]]="Medium",2,3))</f>
        <v>3</v>
      </c>
    </row>
    <row r="38" spans="1:15" x14ac:dyDescent="0.3">
      <c r="A38" t="s">
        <v>47</v>
      </c>
      <c r="B38" t="s">
        <v>146</v>
      </c>
      <c r="C38" t="s">
        <v>222</v>
      </c>
      <c r="D38">
        <v>234</v>
      </c>
      <c r="E38" t="s">
        <v>242</v>
      </c>
      <c r="F38">
        <v>394</v>
      </c>
      <c r="G38">
        <v>7670612815694</v>
      </c>
      <c r="H38" t="s">
        <v>277</v>
      </c>
      <c r="I38" t="s">
        <v>327</v>
      </c>
      <c r="J38" t="s">
        <v>337</v>
      </c>
      <c r="K38" t="s">
        <v>322</v>
      </c>
      <c r="L38">
        <f>tblInventory[[#This Row],[Price]] * tblInventory[[#This Row],[Stock]]</f>
        <v>92196</v>
      </c>
      <c r="M38" t="str">
        <f>IF(tblInventory[[#This Row],[Stock]]&lt;100,"Low","OK")</f>
        <v>OK</v>
      </c>
      <c r="N38" t="str">
        <f>IF(tblInventory[[#This Row],[Availability]]="In Stock","Available",
IF(tblInventory[[#This Row],[Availability]]="Pre-Order","Upcoming","Inactive"))</f>
        <v>Inactive</v>
      </c>
      <c r="O38" s="2">
        <f>IF(tblInventory[[#This Row],[Price Band]]="Low",1,
IF(tblInventory[[#This Row],[Price Band]]="Medium",2,3))</f>
        <v>2</v>
      </c>
    </row>
    <row r="39" spans="1:15" x14ac:dyDescent="0.3">
      <c r="A39" t="s">
        <v>48</v>
      </c>
      <c r="B39" t="s">
        <v>147</v>
      </c>
      <c r="C39" t="s">
        <v>213</v>
      </c>
      <c r="D39">
        <v>640</v>
      </c>
      <c r="E39" t="s">
        <v>242</v>
      </c>
      <c r="F39">
        <v>780</v>
      </c>
      <c r="G39">
        <v>2837107354495</v>
      </c>
      <c r="H39" t="s">
        <v>278</v>
      </c>
      <c r="I39" t="s">
        <v>325</v>
      </c>
      <c r="J39" t="s">
        <v>334</v>
      </c>
      <c r="K39" t="s">
        <v>338</v>
      </c>
      <c r="L39">
        <f>tblInventory[[#This Row],[Price]] * tblInventory[[#This Row],[Stock]]</f>
        <v>499200</v>
      </c>
      <c r="M39" t="str">
        <f>IF(tblInventory[[#This Row],[Stock]]&lt;100,"Low","OK")</f>
        <v>OK</v>
      </c>
      <c r="N39" t="str">
        <f>IF(tblInventory[[#This Row],[Availability]]="In Stock","Available",
IF(tblInventory[[#This Row],[Availability]]="Pre-Order","Upcoming","Inactive"))</f>
        <v>Inactive</v>
      </c>
      <c r="O39" s="2">
        <f>IF(tblInventory[[#This Row],[Price Band]]="Low",1,
IF(tblInventory[[#This Row],[Price Band]]="Medium",2,3))</f>
        <v>3</v>
      </c>
    </row>
    <row r="40" spans="1:15" x14ac:dyDescent="0.3">
      <c r="A40" t="s">
        <v>49</v>
      </c>
      <c r="B40" t="s">
        <v>148</v>
      </c>
      <c r="C40" t="s">
        <v>228</v>
      </c>
      <c r="D40">
        <v>781</v>
      </c>
      <c r="E40" t="s">
        <v>242</v>
      </c>
      <c r="F40">
        <v>947</v>
      </c>
      <c r="G40">
        <v>8247903213713</v>
      </c>
      <c r="H40" t="s">
        <v>279</v>
      </c>
      <c r="I40" t="s">
        <v>326</v>
      </c>
      <c r="J40" t="s">
        <v>336</v>
      </c>
      <c r="K40" t="s">
        <v>338</v>
      </c>
      <c r="L40">
        <f>tblInventory[[#This Row],[Price]] * tblInventory[[#This Row],[Stock]]</f>
        <v>739607</v>
      </c>
      <c r="M40" t="str">
        <f>IF(tblInventory[[#This Row],[Stock]]&lt;100,"Low","OK")</f>
        <v>OK</v>
      </c>
      <c r="N40" t="str">
        <f>IF(tblInventory[[#This Row],[Availability]]="In Stock","Available",
IF(tblInventory[[#This Row],[Availability]]="Pre-Order","Upcoming","Inactive"))</f>
        <v>Inactive</v>
      </c>
      <c r="O40" s="2">
        <f>IF(tblInventory[[#This Row],[Price Band]]="Low",1,
IF(tblInventory[[#This Row],[Price Band]]="Medium",2,3))</f>
        <v>3</v>
      </c>
    </row>
    <row r="41" spans="1:15" x14ac:dyDescent="0.3">
      <c r="A41" t="s">
        <v>50</v>
      </c>
      <c r="B41" t="s">
        <v>149</v>
      </c>
      <c r="C41" t="s">
        <v>230</v>
      </c>
      <c r="D41">
        <v>913</v>
      </c>
      <c r="E41" t="s">
        <v>242</v>
      </c>
      <c r="F41">
        <v>820</v>
      </c>
      <c r="G41">
        <v>5234087663802</v>
      </c>
      <c r="H41" t="s">
        <v>280</v>
      </c>
      <c r="I41" t="s">
        <v>330</v>
      </c>
      <c r="J41" t="s">
        <v>334</v>
      </c>
      <c r="K41" t="s">
        <v>338</v>
      </c>
      <c r="L41">
        <f>tblInventory[[#This Row],[Price]] * tblInventory[[#This Row],[Stock]]</f>
        <v>748660</v>
      </c>
      <c r="M41" t="str">
        <f>IF(tblInventory[[#This Row],[Stock]]&lt;100,"Low","OK")</f>
        <v>OK</v>
      </c>
      <c r="N41" t="str">
        <f>IF(tblInventory[[#This Row],[Availability]]="In Stock","Available",
IF(tblInventory[[#This Row],[Availability]]="Pre-Order","Upcoming","Inactive"))</f>
        <v>Inactive</v>
      </c>
      <c r="O41" s="2">
        <f>IF(tblInventory[[#This Row],[Price Band]]="Low",1,
IF(tblInventory[[#This Row],[Price Band]]="Medium",2,3))</f>
        <v>3</v>
      </c>
    </row>
    <row r="42" spans="1:15" x14ac:dyDescent="0.3">
      <c r="A42" t="s">
        <v>51</v>
      </c>
      <c r="B42" t="s">
        <v>150</v>
      </c>
      <c r="C42" t="s">
        <v>231</v>
      </c>
      <c r="D42">
        <v>100</v>
      </c>
      <c r="E42" t="s">
        <v>242</v>
      </c>
      <c r="F42">
        <v>802</v>
      </c>
      <c r="G42">
        <v>938364240247</v>
      </c>
      <c r="H42" t="s">
        <v>266</v>
      </c>
      <c r="I42" t="s">
        <v>328</v>
      </c>
      <c r="J42" t="s">
        <v>335</v>
      </c>
      <c r="K42" t="s">
        <v>339</v>
      </c>
      <c r="L42">
        <f>tblInventory[[#This Row],[Price]] * tblInventory[[#This Row],[Stock]]</f>
        <v>80200</v>
      </c>
      <c r="M42" t="str">
        <f>IF(tblInventory[[#This Row],[Stock]]&lt;100,"Low","OK")</f>
        <v>OK</v>
      </c>
      <c r="N42" t="str">
        <f>IF(tblInventory[[#This Row],[Availability]]="In Stock","Available",
IF(tblInventory[[#This Row],[Availability]]="Pre-Order","Upcoming","Inactive"))</f>
        <v>Inactive</v>
      </c>
      <c r="O42" s="2">
        <f>IF(tblInventory[[#This Row],[Price Band]]="Low",1,
IF(tblInventory[[#This Row],[Price Band]]="Medium",2,3))</f>
        <v>1</v>
      </c>
    </row>
    <row r="43" spans="1:15" x14ac:dyDescent="0.3">
      <c r="A43" t="s">
        <v>52</v>
      </c>
      <c r="B43" t="s">
        <v>151</v>
      </c>
      <c r="C43" t="s">
        <v>232</v>
      </c>
      <c r="D43">
        <v>999</v>
      </c>
      <c r="E43" t="s">
        <v>242</v>
      </c>
      <c r="F43">
        <v>853</v>
      </c>
      <c r="G43">
        <v>450118214736</v>
      </c>
      <c r="H43" t="s">
        <v>250</v>
      </c>
      <c r="I43" t="s">
        <v>331</v>
      </c>
      <c r="J43" t="s">
        <v>332</v>
      </c>
      <c r="K43" t="s">
        <v>338</v>
      </c>
      <c r="L43">
        <f>tblInventory[[#This Row],[Price]] * tblInventory[[#This Row],[Stock]]</f>
        <v>852147</v>
      </c>
      <c r="M43" t="str">
        <f>IF(tblInventory[[#This Row],[Stock]]&lt;100,"Low","OK")</f>
        <v>OK</v>
      </c>
      <c r="N43" t="str">
        <f>IF(tblInventory[[#This Row],[Availability]]="In Stock","Available",
IF(tblInventory[[#This Row],[Availability]]="Pre-Order","Upcoming","Inactive"))</f>
        <v>Upcoming</v>
      </c>
      <c r="O43" s="2">
        <f>IF(tblInventory[[#This Row],[Price Band]]="Low",1,
IF(tblInventory[[#This Row],[Price Band]]="Medium",2,3))</f>
        <v>3</v>
      </c>
    </row>
    <row r="44" spans="1:15" x14ac:dyDescent="0.3">
      <c r="A44" t="s">
        <v>53</v>
      </c>
      <c r="B44" t="s">
        <v>152</v>
      </c>
      <c r="C44" t="s">
        <v>233</v>
      </c>
      <c r="D44">
        <v>935</v>
      </c>
      <c r="E44" t="s">
        <v>242</v>
      </c>
      <c r="F44">
        <v>55</v>
      </c>
      <c r="G44">
        <v>655296358115</v>
      </c>
      <c r="H44" t="s">
        <v>281</v>
      </c>
      <c r="I44" t="s">
        <v>326</v>
      </c>
      <c r="J44" t="s">
        <v>335</v>
      </c>
      <c r="K44" t="s">
        <v>338</v>
      </c>
      <c r="L44">
        <f>tblInventory[[#This Row],[Price]] * tblInventory[[#This Row],[Stock]]</f>
        <v>51425</v>
      </c>
      <c r="M44" t="str">
        <f>IF(tblInventory[[#This Row],[Stock]]&lt;100,"Low","OK")</f>
        <v>Low</v>
      </c>
      <c r="N44" t="str">
        <f>IF(tblInventory[[#This Row],[Availability]]="In Stock","Available",
IF(tblInventory[[#This Row],[Availability]]="Pre-Order","Upcoming","Inactive"))</f>
        <v>Inactive</v>
      </c>
      <c r="O44" s="2">
        <f>IF(tblInventory[[#This Row],[Price Band]]="Low",1,
IF(tblInventory[[#This Row],[Price Band]]="Medium",2,3))</f>
        <v>3</v>
      </c>
    </row>
    <row r="45" spans="1:15" x14ac:dyDescent="0.3">
      <c r="A45" t="s">
        <v>54</v>
      </c>
      <c r="B45" t="s">
        <v>153</v>
      </c>
      <c r="C45" t="s">
        <v>218</v>
      </c>
      <c r="D45">
        <v>259</v>
      </c>
      <c r="E45" t="s">
        <v>242</v>
      </c>
      <c r="F45">
        <v>668</v>
      </c>
      <c r="G45">
        <v>8611986118980</v>
      </c>
      <c r="H45" t="s">
        <v>282</v>
      </c>
      <c r="I45" t="s">
        <v>325</v>
      </c>
      <c r="J45" t="s">
        <v>333</v>
      </c>
      <c r="K45" t="s">
        <v>322</v>
      </c>
      <c r="L45">
        <f>tblInventory[[#This Row],[Price]] * tblInventory[[#This Row],[Stock]]</f>
        <v>173012</v>
      </c>
      <c r="M45" t="str">
        <f>IF(tblInventory[[#This Row],[Stock]]&lt;100,"Low","OK")</f>
        <v>OK</v>
      </c>
      <c r="N45" t="str">
        <f>IF(tblInventory[[#This Row],[Availability]]="In Stock","Available",
IF(tblInventory[[#This Row],[Availability]]="Pre-Order","Upcoming","Inactive"))</f>
        <v>Available</v>
      </c>
      <c r="O45" s="2">
        <f>IF(tblInventory[[#This Row],[Price Band]]="Low",1,
IF(tblInventory[[#This Row],[Price Band]]="Medium",2,3))</f>
        <v>2</v>
      </c>
    </row>
    <row r="46" spans="1:15" x14ac:dyDescent="0.3">
      <c r="A46" t="s">
        <v>55</v>
      </c>
      <c r="B46" t="s">
        <v>154</v>
      </c>
      <c r="C46" t="s">
        <v>217</v>
      </c>
      <c r="D46">
        <v>488</v>
      </c>
      <c r="E46" t="s">
        <v>242</v>
      </c>
      <c r="F46">
        <v>966</v>
      </c>
      <c r="G46">
        <v>9005775281402</v>
      </c>
      <c r="H46" t="s">
        <v>283</v>
      </c>
      <c r="I46" t="s">
        <v>327</v>
      </c>
      <c r="J46" t="s">
        <v>336</v>
      </c>
      <c r="K46" t="s">
        <v>322</v>
      </c>
      <c r="L46">
        <f>tblInventory[[#This Row],[Price]] * tblInventory[[#This Row],[Stock]]</f>
        <v>471408</v>
      </c>
      <c r="M46" t="str">
        <f>IF(tblInventory[[#This Row],[Stock]]&lt;100,"Low","OK")</f>
        <v>OK</v>
      </c>
      <c r="N46" t="str">
        <f>IF(tblInventory[[#This Row],[Availability]]="In Stock","Available",
IF(tblInventory[[#This Row],[Availability]]="Pre-Order","Upcoming","Inactive"))</f>
        <v>Inactive</v>
      </c>
      <c r="O46" s="2">
        <f>IF(tblInventory[[#This Row],[Price Band]]="Low",1,
IF(tblInventory[[#This Row],[Price Band]]="Medium",2,3))</f>
        <v>2</v>
      </c>
    </row>
    <row r="47" spans="1:15" x14ac:dyDescent="0.3">
      <c r="A47" t="s">
        <v>56</v>
      </c>
      <c r="B47" t="s">
        <v>155</v>
      </c>
      <c r="C47" t="s">
        <v>218</v>
      </c>
      <c r="D47">
        <v>161</v>
      </c>
      <c r="E47" t="s">
        <v>242</v>
      </c>
      <c r="F47">
        <v>349</v>
      </c>
      <c r="G47">
        <v>5367012957872</v>
      </c>
      <c r="H47" t="s">
        <v>284</v>
      </c>
      <c r="I47" t="s">
        <v>323</v>
      </c>
      <c r="J47" t="s">
        <v>335</v>
      </c>
      <c r="K47" t="s">
        <v>339</v>
      </c>
      <c r="L47">
        <f>tblInventory[[#This Row],[Price]] * tblInventory[[#This Row],[Stock]]</f>
        <v>56189</v>
      </c>
      <c r="M47" t="str">
        <f>IF(tblInventory[[#This Row],[Stock]]&lt;100,"Low","OK")</f>
        <v>OK</v>
      </c>
      <c r="N47" t="str">
        <f>IF(tblInventory[[#This Row],[Availability]]="In Stock","Available",
IF(tblInventory[[#This Row],[Availability]]="Pre-Order","Upcoming","Inactive"))</f>
        <v>Inactive</v>
      </c>
      <c r="O47" s="2">
        <f>IF(tblInventory[[#This Row],[Price Band]]="Low",1,
IF(tblInventory[[#This Row],[Price Band]]="Medium",2,3))</f>
        <v>1</v>
      </c>
    </row>
    <row r="48" spans="1:15" x14ac:dyDescent="0.3">
      <c r="A48" t="s">
        <v>57</v>
      </c>
      <c r="B48" t="s">
        <v>156</v>
      </c>
      <c r="C48" t="s">
        <v>234</v>
      </c>
      <c r="D48">
        <v>599</v>
      </c>
      <c r="E48" t="s">
        <v>242</v>
      </c>
      <c r="F48">
        <v>263</v>
      </c>
      <c r="G48">
        <v>6854117854742</v>
      </c>
      <c r="H48" t="s">
        <v>280</v>
      </c>
      <c r="I48" t="s">
        <v>315</v>
      </c>
      <c r="J48" t="s">
        <v>334</v>
      </c>
      <c r="K48" t="s">
        <v>338</v>
      </c>
      <c r="L48">
        <f>tblInventory[[#This Row],[Price]] * tblInventory[[#This Row],[Stock]]</f>
        <v>157537</v>
      </c>
      <c r="M48" t="str">
        <f>IF(tblInventory[[#This Row],[Stock]]&lt;100,"Low","OK")</f>
        <v>OK</v>
      </c>
      <c r="N48" t="str">
        <f>IF(tblInventory[[#This Row],[Availability]]="In Stock","Available",
IF(tblInventory[[#This Row],[Availability]]="Pre-Order","Upcoming","Inactive"))</f>
        <v>Inactive</v>
      </c>
      <c r="O48" s="2">
        <f>IF(tblInventory[[#This Row],[Price Band]]="Low",1,
IF(tblInventory[[#This Row],[Price Band]]="Medium",2,3))</f>
        <v>3</v>
      </c>
    </row>
    <row r="49" spans="1:15" x14ac:dyDescent="0.3">
      <c r="A49" t="s">
        <v>58</v>
      </c>
      <c r="B49" t="s">
        <v>157</v>
      </c>
      <c r="C49" t="s">
        <v>221</v>
      </c>
      <c r="D49">
        <v>731</v>
      </c>
      <c r="E49" t="s">
        <v>242</v>
      </c>
      <c r="F49">
        <v>664</v>
      </c>
      <c r="G49">
        <v>1382809012286</v>
      </c>
      <c r="H49" t="s">
        <v>285</v>
      </c>
      <c r="I49" t="s">
        <v>321</v>
      </c>
      <c r="J49" t="s">
        <v>335</v>
      </c>
      <c r="K49" t="s">
        <v>338</v>
      </c>
      <c r="L49">
        <f>tblInventory[[#This Row],[Price]] * tblInventory[[#This Row],[Stock]]</f>
        <v>485384</v>
      </c>
      <c r="M49" t="str">
        <f>IF(tblInventory[[#This Row],[Stock]]&lt;100,"Low","OK")</f>
        <v>OK</v>
      </c>
      <c r="N49" t="str">
        <f>IF(tblInventory[[#This Row],[Availability]]="In Stock","Available",
IF(tblInventory[[#This Row],[Availability]]="Pre-Order","Upcoming","Inactive"))</f>
        <v>Inactive</v>
      </c>
      <c r="O49" s="2">
        <f>IF(tblInventory[[#This Row],[Price Band]]="Low",1,
IF(tblInventory[[#This Row],[Price Band]]="Medium",2,3))</f>
        <v>3</v>
      </c>
    </row>
    <row r="50" spans="1:15" x14ac:dyDescent="0.3">
      <c r="A50" t="s">
        <v>59</v>
      </c>
      <c r="B50" t="s">
        <v>158</v>
      </c>
      <c r="C50" t="s">
        <v>232</v>
      </c>
      <c r="D50">
        <v>511</v>
      </c>
      <c r="E50" t="s">
        <v>242</v>
      </c>
      <c r="F50">
        <v>395</v>
      </c>
      <c r="G50">
        <v>5461960384619</v>
      </c>
      <c r="H50" t="s">
        <v>286</v>
      </c>
      <c r="I50" t="s">
        <v>326</v>
      </c>
      <c r="J50" t="s">
        <v>334</v>
      </c>
      <c r="K50" t="s">
        <v>338</v>
      </c>
      <c r="L50">
        <f>tblInventory[[#This Row],[Price]] * tblInventory[[#This Row],[Stock]]</f>
        <v>201845</v>
      </c>
      <c r="M50" t="str">
        <f>IF(tblInventory[[#This Row],[Stock]]&lt;100,"Low","OK")</f>
        <v>OK</v>
      </c>
      <c r="N50" t="str">
        <f>IF(tblInventory[[#This Row],[Availability]]="In Stock","Available",
IF(tblInventory[[#This Row],[Availability]]="Pre-Order","Upcoming","Inactive"))</f>
        <v>Inactive</v>
      </c>
      <c r="O50" s="2">
        <f>IF(tblInventory[[#This Row],[Price Band]]="Low",1,
IF(tblInventory[[#This Row],[Price Band]]="Medium",2,3))</f>
        <v>3</v>
      </c>
    </row>
    <row r="51" spans="1:15" x14ac:dyDescent="0.3">
      <c r="A51" t="s">
        <v>60</v>
      </c>
      <c r="B51" t="s">
        <v>159</v>
      </c>
      <c r="C51" t="s">
        <v>229</v>
      </c>
      <c r="D51">
        <v>214</v>
      </c>
      <c r="E51" t="s">
        <v>242</v>
      </c>
      <c r="F51">
        <v>574</v>
      </c>
      <c r="G51">
        <v>3625664059934</v>
      </c>
      <c r="H51" t="s">
        <v>287</v>
      </c>
      <c r="I51" t="s">
        <v>324</v>
      </c>
      <c r="J51" t="s">
        <v>332</v>
      </c>
      <c r="K51" t="s">
        <v>322</v>
      </c>
      <c r="L51">
        <f>tblInventory[[#This Row],[Price]] * tblInventory[[#This Row],[Stock]]</f>
        <v>122836</v>
      </c>
      <c r="M51" t="str">
        <f>IF(tblInventory[[#This Row],[Stock]]&lt;100,"Low","OK")</f>
        <v>OK</v>
      </c>
      <c r="N51" t="str">
        <f>IF(tblInventory[[#This Row],[Availability]]="In Stock","Available",
IF(tblInventory[[#This Row],[Availability]]="Pre-Order","Upcoming","Inactive"))</f>
        <v>Upcoming</v>
      </c>
      <c r="O51" s="2">
        <f>IF(tblInventory[[#This Row],[Price Band]]="Low",1,
IF(tblInventory[[#This Row],[Price Band]]="Medium",2,3))</f>
        <v>2</v>
      </c>
    </row>
    <row r="52" spans="1:15" x14ac:dyDescent="0.3">
      <c r="A52" t="s">
        <v>61</v>
      </c>
      <c r="B52" t="s">
        <v>160</v>
      </c>
      <c r="C52" t="s">
        <v>217</v>
      </c>
      <c r="D52">
        <v>777</v>
      </c>
      <c r="E52" t="s">
        <v>242</v>
      </c>
      <c r="F52">
        <v>832</v>
      </c>
      <c r="G52">
        <v>4894233116968</v>
      </c>
      <c r="H52" t="s">
        <v>288</v>
      </c>
      <c r="I52" t="s">
        <v>323</v>
      </c>
      <c r="J52" t="s">
        <v>333</v>
      </c>
      <c r="K52" t="s">
        <v>338</v>
      </c>
      <c r="L52">
        <f>tblInventory[[#This Row],[Price]] * tblInventory[[#This Row],[Stock]]</f>
        <v>646464</v>
      </c>
      <c r="M52" t="str">
        <f>IF(tblInventory[[#This Row],[Stock]]&lt;100,"Low","OK")</f>
        <v>OK</v>
      </c>
      <c r="N52" t="str">
        <f>IF(tblInventory[[#This Row],[Availability]]="In Stock","Available",
IF(tblInventory[[#This Row],[Availability]]="Pre-Order","Upcoming","Inactive"))</f>
        <v>Available</v>
      </c>
      <c r="O52" s="2">
        <f>IF(tblInventory[[#This Row],[Price Band]]="Low",1,
IF(tblInventory[[#This Row],[Price Band]]="Medium",2,3))</f>
        <v>3</v>
      </c>
    </row>
    <row r="53" spans="1:15" x14ac:dyDescent="0.3">
      <c r="A53" t="s">
        <v>62</v>
      </c>
      <c r="B53" t="s">
        <v>161</v>
      </c>
      <c r="C53" t="s">
        <v>229</v>
      </c>
      <c r="D53">
        <v>820</v>
      </c>
      <c r="E53" t="s">
        <v>242</v>
      </c>
      <c r="F53">
        <v>535</v>
      </c>
      <c r="G53">
        <v>8183922928019</v>
      </c>
      <c r="H53" t="s">
        <v>261</v>
      </c>
      <c r="I53" t="s">
        <v>319</v>
      </c>
      <c r="J53" t="s">
        <v>333</v>
      </c>
      <c r="K53" t="s">
        <v>338</v>
      </c>
      <c r="L53">
        <f>tblInventory[[#This Row],[Price]] * tblInventory[[#This Row],[Stock]]</f>
        <v>438700</v>
      </c>
      <c r="M53" t="str">
        <f>IF(tblInventory[[#This Row],[Stock]]&lt;100,"Low","OK")</f>
        <v>OK</v>
      </c>
      <c r="N53" t="str">
        <f>IF(tblInventory[[#This Row],[Availability]]="In Stock","Available",
IF(tblInventory[[#This Row],[Availability]]="Pre-Order","Upcoming","Inactive"))</f>
        <v>Available</v>
      </c>
      <c r="O53" s="2">
        <f>IF(tblInventory[[#This Row],[Price Band]]="Low",1,
IF(tblInventory[[#This Row],[Price Band]]="Medium",2,3))</f>
        <v>3</v>
      </c>
    </row>
    <row r="54" spans="1:15" x14ac:dyDescent="0.3">
      <c r="A54" t="s">
        <v>12</v>
      </c>
      <c r="B54" t="s">
        <v>162</v>
      </c>
      <c r="C54" t="s">
        <v>235</v>
      </c>
      <c r="D54">
        <v>408</v>
      </c>
      <c r="E54" t="s">
        <v>242</v>
      </c>
      <c r="F54">
        <v>922</v>
      </c>
      <c r="G54">
        <v>8183313115592</v>
      </c>
      <c r="H54" t="s">
        <v>289</v>
      </c>
      <c r="I54" t="s">
        <v>322</v>
      </c>
      <c r="J54" t="s">
        <v>337</v>
      </c>
      <c r="K54" t="s">
        <v>322</v>
      </c>
      <c r="L54">
        <f>tblInventory[[#This Row],[Price]] * tblInventory[[#This Row],[Stock]]</f>
        <v>376176</v>
      </c>
      <c r="M54" t="str">
        <f>IF(tblInventory[[#This Row],[Stock]]&lt;100,"Low","OK")</f>
        <v>OK</v>
      </c>
      <c r="N54" t="str">
        <f>IF(tblInventory[[#This Row],[Availability]]="In Stock","Available",
IF(tblInventory[[#This Row],[Availability]]="Pre-Order","Upcoming","Inactive"))</f>
        <v>Inactive</v>
      </c>
      <c r="O54" s="2">
        <f>IF(tblInventory[[#This Row],[Price Band]]="Low",1,
IF(tblInventory[[#This Row],[Price Band]]="Medium",2,3))</f>
        <v>2</v>
      </c>
    </row>
    <row r="55" spans="1:15" x14ac:dyDescent="0.3">
      <c r="A55" t="s">
        <v>63</v>
      </c>
      <c r="B55" t="s">
        <v>163</v>
      </c>
      <c r="C55" t="s">
        <v>224</v>
      </c>
      <c r="D55">
        <v>791</v>
      </c>
      <c r="E55" t="s">
        <v>242</v>
      </c>
      <c r="F55">
        <v>827</v>
      </c>
      <c r="G55">
        <v>3057639268476</v>
      </c>
      <c r="H55" t="s">
        <v>290</v>
      </c>
      <c r="I55" t="s">
        <v>329</v>
      </c>
      <c r="J55" t="s">
        <v>333</v>
      </c>
      <c r="K55" t="s">
        <v>338</v>
      </c>
      <c r="L55">
        <f>tblInventory[[#This Row],[Price]] * tblInventory[[#This Row],[Stock]]</f>
        <v>654157</v>
      </c>
      <c r="M55" t="str">
        <f>IF(tblInventory[[#This Row],[Stock]]&lt;100,"Low","OK")</f>
        <v>OK</v>
      </c>
      <c r="N55" t="str">
        <f>IF(tblInventory[[#This Row],[Availability]]="In Stock","Available",
IF(tblInventory[[#This Row],[Availability]]="Pre-Order","Upcoming","Inactive"))</f>
        <v>Available</v>
      </c>
      <c r="O55" s="2">
        <f>IF(tblInventory[[#This Row],[Price Band]]="Low",1,
IF(tblInventory[[#This Row],[Price Band]]="Medium",2,3))</f>
        <v>3</v>
      </c>
    </row>
    <row r="56" spans="1:15" x14ac:dyDescent="0.3">
      <c r="A56" t="s">
        <v>64</v>
      </c>
      <c r="B56" t="s">
        <v>164</v>
      </c>
      <c r="C56" t="s">
        <v>236</v>
      </c>
      <c r="D56">
        <v>370</v>
      </c>
      <c r="E56" t="s">
        <v>242</v>
      </c>
      <c r="F56">
        <v>601</v>
      </c>
      <c r="G56">
        <v>1974896712011</v>
      </c>
      <c r="H56" t="s">
        <v>291</v>
      </c>
      <c r="I56" t="s">
        <v>318</v>
      </c>
      <c r="J56" t="s">
        <v>337</v>
      </c>
      <c r="K56" t="s">
        <v>322</v>
      </c>
      <c r="L56">
        <f>tblInventory[[#This Row],[Price]] * tblInventory[[#This Row],[Stock]]</f>
        <v>222370</v>
      </c>
      <c r="M56" t="str">
        <f>IF(tblInventory[[#This Row],[Stock]]&lt;100,"Low","OK")</f>
        <v>OK</v>
      </c>
      <c r="N56" t="str">
        <f>IF(tblInventory[[#This Row],[Availability]]="In Stock","Available",
IF(tblInventory[[#This Row],[Availability]]="Pre-Order","Upcoming","Inactive"))</f>
        <v>Inactive</v>
      </c>
      <c r="O56" s="2">
        <f>IF(tblInventory[[#This Row],[Price Band]]="Low",1,
IF(tblInventory[[#This Row],[Price Band]]="Medium",2,3))</f>
        <v>2</v>
      </c>
    </row>
    <row r="57" spans="1:15" x14ac:dyDescent="0.3">
      <c r="A57" t="s">
        <v>65</v>
      </c>
      <c r="B57" t="s">
        <v>165</v>
      </c>
      <c r="C57" t="s">
        <v>232</v>
      </c>
      <c r="D57">
        <v>224</v>
      </c>
      <c r="E57" t="s">
        <v>242</v>
      </c>
      <c r="F57">
        <v>372</v>
      </c>
      <c r="G57">
        <v>983367163970</v>
      </c>
      <c r="H57" t="s">
        <v>292</v>
      </c>
      <c r="I57" t="s">
        <v>329</v>
      </c>
      <c r="J57" t="s">
        <v>334</v>
      </c>
      <c r="K57" t="s">
        <v>322</v>
      </c>
      <c r="L57">
        <f>tblInventory[[#This Row],[Price]] * tblInventory[[#This Row],[Stock]]</f>
        <v>83328</v>
      </c>
      <c r="M57" t="str">
        <f>IF(tblInventory[[#This Row],[Stock]]&lt;100,"Low","OK")</f>
        <v>OK</v>
      </c>
      <c r="N57" t="str">
        <f>IF(tblInventory[[#This Row],[Availability]]="In Stock","Available",
IF(tblInventory[[#This Row],[Availability]]="Pre-Order","Upcoming","Inactive"))</f>
        <v>Inactive</v>
      </c>
      <c r="O57" s="2">
        <f>IF(tblInventory[[#This Row],[Price Band]]="Low",1,
IF(tblInventory[[#This Row],[Price Band]]="Medium",2,3))</f>
        <v>2</v>
      </c>
    </row>
    <row r="58" spans="1:15" x14ac:dyDescent="0.3">
      <c r="A58" t="s">
        <v>66</v>
      </c>
      <c r="B58" t="s">
        <v>166</v>
      </c>
      <c r="C58" t="s">
        <v>210</v>
      </c>
      <c r="D58">
        <v>514</v>
      </c>
      <c r="E58" t="s">
        <v>242</v>
      </c>
      <c r="F58">
        <v>491</v>
      </c>
      <c r="G58">
        <v>8481605893389</v>
      </c>
      <c r="H58" t="s">
        <v>293</v>
      </c>
      <c r="I58" t="s">
        <v>316</v>
      </c>
      <c r="J58" t="s">
        <v>337</v>
      </c>
      <c r="K58" t="s">
        <v>338</v>
      </c>
      <c r="L58">
        <f>tblInventory[[#This Row],[Price]] * tblInventory[[#This Row],[Stock]]</f>
        <v>252374</v>
      </c>
      <c r="M58" t="str">
        <f>IF(tblInventory[[#This Row],[Stock]]&lt;100,"Low","OK")</f>
        <v>OK</v>
      </c>
      <c r="N58" t="str">
        <f>IF(tblInventory[[#This Row],[Availability]]="In Stock","Available",
IF(tblInventory[[#This Row],[Availability]]="Pre-Order","Upcoming","Inactive"))</f>
        <v>Inactive</v>
      </c>
      <c r="O58" s="2">
        <f>IF(tblInventory[[#This Row],[Price Band]]="Low",1,
IF(tblInventory[[#This Row],[Price Band]]="Medium",2,3))</f>
        <v>3</v>
      </c>
    </row>
    <row r="59" spans="1:15" x14ac:dyDescent="0.3">
      <c r="A59" t="s">
        <v>67</v>
      </c>
      <c r="B59" t="s">
        <v>167</v>
      </c>
      <c r="C59" t="s">
        <v>223</v>
      </c>
      <c r="D59">
        <v>689</v>
      </c>
      <c r="E59" t="s">
        <v>242</v>
      </c>
      <c r="F59">
        <v>332</v>
      </c>
      <c r="G59">
        <v>5175038823985</v>
      </c>
      <c r="H59" t="s">
        <v>294</v>
      </c>
      <c r="I59" t="s">
        <v>330</v>
      </c>
      <c r="J59" t="s">
        <v>337</v>
      </c>
      <c r="K59" t="s">
        <v>338</v>
      </c>
      <c r="L59">
        <f>tblInventory[[#This Row],[Price]] * tblInventory[[#This Row],[Stock]]</f>
        <v>228748</v>
      </c>
      <c r="M59" t="str">
        <f>IF(tblInventory[[#This Row],[Stock]]&lt;100,"Low","OK")</f>
        <v>OK</v>
      </c>
      <c r="N59" t="str">
        <f>IF(tblInventory[[#This Row],[Availability]]="In Stock","Available",
IF(tblInventory[[#This Row],[Availability]]="Pre-Order","Upcoming","Inactive"))</f>
        <v>Inactive</v>
      </c>
      <c r="O59" s="2">
        <f>IF(tblInventory[[#This Row],[Price Band]]="Low",1,
IF(tblInventory[[#This Row],[Price Band]]="Medium",2,3))</f>
        <v>3</v>
      </c>
    </row>
    <row r="60" spans="1:15" x14ac:dyDescent="0.3">
      <c r="A60" t="s">
        <v>68</v>
      </c>
      <c r="B60" t="s">
        <v>168</v>
      </c>
      <c r="C60" t="s">
        <v>237</v>
      </c>
      <c r="D60">
        <v>489</v>
      </c>
      <c r="E60" t="s">
        <v>242</v>
      </c>
      <c r="F60">
        <v>423</v>
      </c>
      <c r="G60">
        <v>2567562782853</v>
      </c>
      <c r="H60" t="s">
        <v>295</v>
      </c>
      <c r="I60" t="s">
        <v>330</v>
      </c>
      <c r="J60" t="s">
        <v>332</v>
      </c>
      <c r="K60" t="s">
        <v>322</v>
      </c>
      <c r="L60">
        <f>tblInventory[[#This Row],[Price]] * tblInventory[[#This Row],[Stock]]</f>
        <v>206847</v>
      </c>
      <c r="M60" t="str">
        <f>IF(tblInventory[[#This Row],[Stock]]&lt;100,"Low","OK")</f>
        <v>OK</v>
      </c>
      <c r="N60" t="str">
        <f>IF(tblInventory[[#This Row],[Availability]]="In Stock","Available",
IF(tblInventory[[#This Row],[Availability]]="Pre-Order","Upcoming","Inactive"))</f>
        <v>Upcoming</v>
      </c>
      <c r="O60" s="2">
        <f>IF(tblInventory[[#This Row],[Price Band]]="Low",1,
IF(tblInventory[[#This Row],[Price Band]]="Medium",2,3))</f>
        <v>2</v>
      </c>
    </row>
    <row r="61" spans="1:15" x14ac:dyDescent="0.3">
      <c r="A61" t="s">
        <v>69</v>
      </c>
      <c r="B61" t="s">
        <v>169</v>
      </c>
      <c r="C61" t="s">
        <v>225</v>
      </c>
      <c r="D61">
        <v>621</v>
      </c>
      <c r="E61" t="s">
        <v>242</v>
      </c>
      <c r="F61">
        <v>667</v>
      </c>
      <c r="G61">
        <v>6744198567221</v>
      </c>
      <c r="H61" t="s">
        <v>296</v>
      </c>
      <c r="I61" t="s">
        <v>325</v>
      </c>
      <c r="J61" t="s">
        <v>333</v>
      </c>
      <c r="K61" t="s">
        <v>338</v>
      </c>
      <c r="L61">
        <f>tblInventory[[#This Row],[Price]] * tblInventory[[#This Row],[Stock]]</f>
        <v>414207</v>
      </c>
      <c r="M61" t="str">
        <f>IF(tblInventory[[#This Row],[Stock]]&lt;100,"Low","OK")</f>
        <v>OK</v>
      </c>
      <c r="N61" t="str">
        <f>IF(tblInventory[[#This Row],[Availability]]="In Stock","Available",
IF(tblInventory[[#This Row],[Availability]]="Pre-Order","Upcoming","Inactive"))</f>
        <v>Available</v>
      </c>
      <c r="O61" s="2">
        <f>IF(tblInventory[[#This Row],[Price Band]]="Low",1,
IF(tblInventory[[#This Row],[Price Band]]="Medium",2,3))</f>
        <v>3</v>
      </c>
    </row>
    <row r="62" spans="1:15" x14ac:dyDescent="0.3">
      <c r="A62" t="s">
        <v>70</v>
      </c>
      <c r="B62" t="s">
        <v>170</v>
      </c>
      <c r="C62" t="s">
        <v>237</v>
      </c>
      <c r="D62">
        <v>440</v>
      </c>
      <c r="E62" t="s">
        <v>242</v>
      </c>
      <c r="F62">
        <v>973</v>
      </c>
      <c r="G62">
        <v>4811928042234</v>
      </c>
      <c r="H62" t="s">
        <v>297</v>
      </c>
      <c r="I62" t="s">
        <v>322</v>
      </c>
      <c r="J62" t="s">
        <v>333</v>
      </c>
      <c r="K62" t="s">
        <v>322</v>
      </c>
      <c r="L62">
        <f>tblInventory[[#This Row],[Price]] * tblInventory[[#This Row],[Stock]]</f>
        <v>428120</v>
      </c>
      <c r="M62" t="str">
        <f>IF(tblInventory[[#This Row],[Stock]]&lt;100,"Low","OK")</f>
        <v>OK</v>
      </c>
      <c r="N62" t="str">
        <f>IF(tblInventory[[#This Row],[Availability]]="In Stock","Available",
IF(tblInventory[[#This Row],[Availability]]="Pre-Order","Upcoming","Inactive"))</f>
        <v>Available</v>
      </c>
      <c r="O62" s="2">
        <f>IF(tblInventory[[#This Row],[Price Band]]="Low",1,
IF(tblInventory[[#This Row],[Price Band]]="Medium",2,3))</f>
        <v>2</v>
      </c>
    </row>
    <row r="63" spans="1:15" x14ac:dyDescent="0.3">
      <c r="A63" t="s">
        <v>71</v>
      </c>
      <c r="B63" t="s">
        <v>171</v>
      </c>
      <c r="C63" t="s">
        <v>219</v>
      </c>
      <c r="D63">
        <v>982</v>
      </c>
      <c r="E63" t="s">
        <v>242</v>
      </c>
      <c r="F63">
        <v>804</v>
      </c>
      <c r="G63">
        <v>3388615003133</v>
      </c>
      <c r="H63" t="s">
        <v>291</v>
      </c>
      <c r="I63" t="s">
        <v>319</v>
      </c>
      <c r="J63" t="s">
        <v>337</v>
      </c>
      <c r="K63" t="s">
        <v>338</v>
      </c>
      <c r="L63">
        <f>tblInventory[[#This Row],[Price]] * tblInventory[[#This Row],[Stock]]</f>
        <v>789528</v>
      </c>
      <c r="M63" t="str">
        <f>IF(tblInventory[[#This Row],[Stock]]&lt;100,"Low","OK")</f>
        <v>OK</v>
      </c>
      <c r="N63" t="str">
        <f>IF(tblInventory[[#This Row],[Availability]]="In Stock","Available",
IF(tblInventory[[#This Row],[Availability]]="Pre-Order","Upcoming","Inactive"))</f>
        <v>Inactive</v>
      </c>
      <c r="O63" s="2">
        <f>IF(tblInventory[[#This Row],[Price Band]]="Low",1,
IF(tblInventory[[#This Row],[Price Band]]="Medium",2,3))</f>
        <v>3</v>
      </c>
    </row>
    <row r="64" spans="1:15" x14ac:dyDescent="0.3">
      <c r="A64" t="s">
        <v>72</v>
      </c>
      <c r="B64" t="s">
        <v>172</v>
      </c>
      <c r="C64" t="s">
        <v>235</v>
      </c>
      <c r="D64">
        <v>124</v>
      </c>
      <c r="E64" t="s">
        <v>242</v>
      </c>
      <c r="F64">
        <v>513</v>
      </c>
      <c r="G64">
        <v>6261793125392</v>
      </c>
      <c r="H64" t="s">
        <v>298</v>
      </c>
      <c r="I64" t="s">
        <v>329</v>
      </c>
      <c r="J64" t="s">
        <v>332</v>
      </c>
      <c r="K64" t="s">
        <v>339</v>
      </c>
      <c r="L64">
        <f>tblInventory[[#This Row],[Price]] * tblInventory[[#This Row],[Stock]]</f>
        <v>63612</v>
      </c>
      <c r="M64" t="str">
        <f>IF(tblInventory[[#This Row],[Stock]]&lt;100,"Low","OK")</f>
        <v>OK</v>
      </c>
      <c r="N64" t="str">
        <f>IF(tblInventory[[#This Row],[Availability]]="In Stock","Available",
IF(tblInventory[[#This Row],[Availability]]="Pre-Order","Upcoming","Inactive"))</f>
        <v>Upcoming</v>
      </c>
      <c r="O64" s="2">
        <f>IF(tblInventory[[#This Row],[Price Band]]="Low",1,
IF(tblInventory[[#This Row],[Price Band]]="Medium",2,3))</f>
        <v>1</v>
      </c>
    </row>
    <row r="65" spans="1:15" x14ac:dyDescent="0.3">
      <c r="A65" t="s">
        <v>73</v>
      </c>
      <c r="B65" t="s">
        <v>173</v>
      </c>
      <c r="C65" t="s">
        <v>232</v>
      </c>
      <c r="D65">
        <v>489</v>
      </c>
      <c r="E65" t="s">
        <v>242</v>
      </c>
      <c r="F65">
        <v>561</v>
      </c>
      <c r="G65">
        <v>6474143371206</v>
      </c>
      <c r="H65" t="s">
        <v>299</v>
      </c>
      <c r="I65" t="s">
        <v>321</v>
      </c>
      <c r="J65" t="s">
        <v>332</v>
      </c>
      <c r="K65" t="s">
        <v>322</v>
      </c>
      <c r="L65">
        <f>tblInventory[[#This Row],[Price]] * tblInventory[[#This Row],[Stock]]</f>
        <v>274329</v>
      </c>
      <c r="M65" t="str">
        <f>IF(tblInventory[[#This Row],[Stock]]&lt;100,"Low","OK")</f>
        <v>OK</v>
      </c>
      <c r="N65" t="str">
        <f>IF(tblInventory[[#This Row],[Availability]]="In Stock","Available",
IF(tblInventory[[#This Row],[Availability]]="Pre-Order","Upcoming","Inactive"))</f>
        <v>Upcoming</v>
      </c>
      <c r="O65" s="2">
        <f>IF(tblInventory[[#This Row],[Price Band]]="Low",1,
IF(tblInventory[[#This Row],[Price Band]]="Medium",2,3))</f>
        <v>2</v>
      </c>
    </row>
    <row r="66" spans="1:15" x14ac:dyDescent="0.3">
      <c r="A66" t="s">
        <v>74</v>
      </c>
      <c r="B66" t="s">
        <v>174</v>
      </c>
      <c r="C66" t="s">
        <v>222</v>
      </c>
      <c r="D66">
        <v>130</v>
      </c>
      <c r="E66" t="s">
        <v>242</v>
      </c>
      <c r="F66">
        <v>876</v>
      </c>
      <c r="G66">
        <v>4089415274929</v>
      </c>
      <c r="H66" t="s">
        <v>270</v>
      </c>
      <c r="I66" t="s">
        <v>325</v>
      </c>
      <c r="J66" t="s">
        <v>333</v>
      </c>
      <c r="K66" t="s">
        <v>339</v>
      </c>
      <c r="L66">
        <f>tblInventory[[#This Row],[Price]] * tblInventory[[#This Row],[Stock]]</f>
        <v>113880</v>
      </c>
      <c r="M66" t="str">
        <f>IF(tblInventory[[#This Row],[Stock]]&lt;100,"Low","OK")</f>
        <v>OK</v>
      </c>
      <c r="N66" t="str">
        <f>IF(tblInventory[[#This Row],[Availability]]="In Stock","Available",
IF(tblInventory[[#This Row],[Availability]]="Pre-Order","Upcoming","Inactive"))</f>
        <v>Available</v>
      </c>
      <c r="O66" s="2">
        <f>IF(tblInventory[[#This Row],[Price Band]]="Low",1,
IF(tblInventory[[#This Row],[Price Band]]="Medium",2,3))</f>
        <v>1</v>
      </c>
    </row>
    <row r="67" spans="1:15" x14ac:dyDescent="0.3">
      <c r="A67" t="s">
        <v>75</v>
      </c>
      <c r="B67" t="s">
        <v>175</v>
      </c>
      <c r="C67" t="s">
        <v>223</v>
      </c>
      <c r="D67">
        <v>731</v>
      </c>
      <c r="E67" t="s">
        <v>242</v>
      </c>
      <c r="F67">
        <v>744</v>
      </c>
      <c r="G67">
        <v>4598541150958</v>
      </c>
      <c r="H67" t="s">
        <v>261</v>
      </c>
      <c r="I67" t="s">
        <v>325</v>
      </c>
      <c r="J67" t="s">
        <v>336</v>
      </c>
      <c r="K67" t="s">
        <v>338</v>
      </c>
      <c r="L67">
        <f>tblInventory[[#This Row],[Price]] * tblInventory[[#This Row],[Stock]]</f>
        <v>543864</v>
      </c>
      <c r="M67" t="str">
        <f>IF(tblInventory[[#This Row],[Stock]]&lt;100,"Low","OK")</f>
        <v>OK</v>
      </c>
      <c r="N67" t="str">
        <f>IF(tblInventory[[#This Row],[Availability]]="In Stock","Available",
IF(tblInventory[[#This Row],[Availability]]="Pre-Order","Upcoming","Inactive"))</f>
        <v>Inactive</v>
      </c>
      <c r="O67" s="2">
        <f>IF(tblInventory[[#This Row],[Price Band]]="Low",1,
IF(tblInventory[[#This Row],[Price Band]]="Medium",2,3))</f>
        <v>3</v>
      </c>
    </row>
    <row r="68" spans="1:15" x14ac:dyDescent="0.3">
      <c r="A68" t="s">
        <v>76</v>
      </c>
      <c r="B68" t="s">
        <v>176</v>
      </c>
      <c r="C68" t="s">
        <v>230</v>
      </c>
      <c r="D68">
        <v>750</v>
      </c>
      <c r="E68" t="s">
        <v>242</v>
      </c>
      <c r="F68">
        <v>623</v>
      </c>
      <c r="G68">
        <v>9282813513019</v>
      </c>
      <c r="H68" t="s">
        <v>300</v>
      </c>
      <c r="I68" t="s">
        <v>331</v>
      </c>
      <c r="J68" t="s">
        <v>333</v>
      </c>
      <c r="K68" t="s">
        <v>338</v>
      </c>
      <c r="L68">
        <f>tblInventory[[#This Row],[Price]] * tblInventory[[#This Row],[Stock]]</f>
        <v>467250</v>
      </c>
      <c r="M68" t="str">
        <f>IF(tblInventory[[#This Row],[Stock]]&lt;100,"Low","OK")</f>
        <v>OK</v>
      </c>
      <c r="N68" t="str">
        <f>IF(tblInventory[[#This Row],[Availability]]="In Stock","Available",
IF(tblInventory[[#This Row],[Availability]]="Pre-Order","Upcoming","Inactive"))</f>
        <v>Available</v>
      </c>
      <c r="O68" s="2">
        <f>IF(tblInventory[[#This Row],[Price Band]]="Low",1,
IF(tblInventory[[#This Row],[Price Band]]="Medium",2,3))</f>
        <v>3</v>
      </c>
    </row>
    <row r="69" spans="1:15" x14ac:dyDescent="0.3">
      <c r="A69" t="s">
        <v>77</v>
      </c>
      <c r="B69" t="s">
        <v>177</v>
      </c>
      <c r="C69" t="s">
        <v>238</v>
      </c>
      <c r="D69">
        <v>206</v>
      </c>
      <c r="E69" t="s">
        <v>242</v>
      </c>
      <c r="F69">
        <v>677</v>
      </c>
      <c r="G69">
        <v>8282848236311</v>
      </c>
      <c r="H69" t="s">
        <v>254</v>
      </c>
      <c r="I69" t="s">
        <v>316</v>
      </c>
      <c r="J69" t="s">
        <v>334</v>
      </c>
      <c r="K69" t="s">
        <v>322</v>
      </c>
      <c r="L69">
        <f>tblInventory[[#This Row],[Price]] * tblInventory[[#This Row],[Stock]]</f>
        <v>139462</v>
      </c>
      <c r="M69" t="str">
        <f>IF(tblInventory[[#This Row],[Stock]]&lt;100,"Low","OK")</f>
        <v>OK</v>
      </c>
      <c r="N69" t="str">
        <f>IF(tblInventory[[#This Row],[Availability]]="In Stock","Available",
IF(tblInventory[[#This Row],[Availability]]="Pre-Order","Upcoming","Inactive"))</f>
        <v>Inactive</v>
      </c>
      <c r="O69" s="2">
        <f>IF(tblInventory[[#This Row],[Price Band]]="Low",1,
IF(tblInventory[[#This Row],[Price Band]]="Medium",2,3))</f>
        <v>2</v>
      </c>
    </row>
    <row r="70" spans="1:15" x14ac:dyDescent="0.3">
      <c r="A70" t="s">
        <v>78</v>
      </c>
      <c r="B70" t="s">
        <v>178</v>
      </c>
      <c r="C70" t="s">
        <v>235</v>
      </c>
      <c r="D70">
        <v>293</v>
      </c>
      <c r="E70" t="s">
        <v>242</v>
      </c>
      <c r="F70">
        <v>700</v>
      </c>
      <c r="G70">
        <v>7935749142557</v>
      </c>
      <c r="H70" t="s">
        <v>301</v>
      </c>
      <c r="I70" t="s">
        <v>324</v>
      </c>
      <c r="J70" t="s">
        <v>336</v>
      </c>
      <c r="K70" t="s">
        <v>322</v>
      </c>
      <c r="L70">
        <f>tblInventory[[#This Row],[Price]] * tblInventory[[#This Row],[Stock]]</f>
        <v>205100</v>
      </c>
      <c r="M70" t="str">
        <f>IF(tblInventory[[#This Row],[Stock]]&lt;100,"Low","OK")</f>
        <v>OK</v>
      </c>
      <c r="N70" t="str">
        <f>IF(tblInventory[[#This Row],[Availability]]="In Stock","Available",
IF(tblInventory[[#This Row],[Availability]]="Pre-Order","Upcoming","Inactive"))</f>
        <v>Inactive</v>
      </c>
      <c r="O70" s="2">
        <f>IF(tblInventory[[#This Row],[Price Band]]="Low",1,
IF(tblInventory[[#This Row],[Price Band]]="Medium",2,3))</f>
        <v>2</v>
      </c>
    </row>
    <row r="71" spans="1:15" x14ac:dyDescent="0.3">
      <c r="A71" t="s">
        <v>79</v>
      </c>
      <c r="B71" t="s">
        <v>179</v>
      </c>
      <c r="C71" t="s">
        <v>239</v>
      </c>
      <c r="D71">
        <v>5</v>
      </c>
      <c r="E71" t="s">
        <v>242</v>
      </c>
      <c r="F71">
        <v>247</v>
      </c>
      <c r="G71">
        <v>252926529077</v>
      </c>
      <c r="H71" t="s">
        <v>302</v>
      </c>
      <c r="I71" t="s">
        <v>327</v>
      </c>
      <c r="J71" t="s">
        <v>335</v>
      </c>
      <c r="K71" t="s">
        <v>339</v>
      </c>
      <c r="L71">
        <f>tblInventory[[#This Row],[Price]] * tblInventory[[#This Row],[Stock]]</f>
        <v>1235</v>
      </c>
      <c r="M71" t="str">
        <f>IF(tblInventory[[#This Row],[Stock]]&lt;100,"Low","OK")</f>
        <v>OK</v>
      </c>
      <c r="N71" t="str">
        <f>IF(tblInventory[[#This Row],[Availability]]="In Stock","Available",
IF(tblInventory[[#This Row],[Availability]]="Pre-Order","Upcoming","Inactive"))</f>
        <v>Inactive</v>
      </c>
      <c r="O71" s="2">
        <f>IF(tblInventory[[#This Row],[Price Band]]="Low",1,
IF(tblInventory[[#This Row],[Price Band]]="Medium",2,3))</f>
        <v>1</v>
      </c>
    </row>
    <row r="72" spans="1:15" x14ac:dyDescent="0.3">
      <c r="A72" t="s">
        <v>80</v>
      </c>
      <c r="B72" t="s">
        <v>180</v>
      </c>
      <c r="C72" t="s">
        <v>216</v>
      </c>
      <c r="D72">
        <v>12</v>
      </c>
      <c r="E72" t="s">
        <v>242</v>
      </c>
      <c r="F72">
        <v>439</v>
      </c>
      <c r="G72">
        <v>3997003361528</v>
      </c>
      <c r="H72" t="s">
        <v>303</v>
      </c>
      <c r="I72" t="s">
        <v>317</v>
      </c>
      <c r="J72" t="s">
        <v>332</v>
      </c>
      <c r="K72" t="s">
        <v>339</v>
      </c>
      <c r="L72">
        <f>tblInventory[[#This Row],[Price]] * tblInventory[[#This Row],[Stock]]</f>
        <v>5268</v>
      </c>
      <c r="M72" t="str">
        <f>IF(tblInventory[[#This Row],[Stock]]&lt;100,"Low","OK")</f>
        <v>OK</v>
      </c>
      <c r="N72" t="str">
        <f>IF(tblInventory[[#This Row],[Availability]]="In Stock","Available",
IF(tblInventory[[#This Row],[Availability]]="Pre-Order","Upcoming","Inactive"))</f>
        <v>Upcoming</v>
      </c>
      <c r="O72" s="2">
        <f>IF(tblInventory[[#This Row],[Price Band]]="Low",1,
IF(tblInventory[[#This Row],[Price Band]]="Medium",2,3))</f>
        <v>1</v>
      </c>
    </row>
    <row r="73" spans="1:15" x14ac:dyDescent="0.3">
      <c r="A73" t="s">
        <v>81</v>
      </c>
      <c r="B73" t="s">
        <v>181</v>
      </c>
      <c r="C73" t="s">
        <v>240</v>
      </c>
      <c r="D73">
        <v>148</v>
      </c>
      <c r="E73" t="s">
        <v>242</v>
      </c>
      <c r="F73">
        <v>650</v>
      </c>
      <c r="G73">
        <v>6908065460286</v>
      </c>
      <c r="H73" t="s">
        <v>304</v>
      </c>
      <c r="I73" t="s">
        <v>328</v>
      </c>
      <c r="J73" t="s">
        <v>337</v>
      </c>
      <c r="K73" t="s">
        <v>339</v>
      </c>
      <c r="L73">
        <f>tblInventory[[#This Row],[Price]] * tblInventory[[#This Row],[Stock]]</f>
        <v>96200</v>
      </c>
      <c r="M73" t="str">
        <f>IF(tblInventory[[#This Row],[Stock]]&lt;100,"Low","OK")</f>
        <v>OK</v>
      </c>
      <c r="N73" t="str">
        <f>IF(tblInventory[[#This Row],[Availability]]="In Stock","Available",
IF(tblInventory[[#This Row],[Availability]]="Pre-Order","Upcoming","Inactive"))</f>
        <v>Inactive</v>
      </c>
      <c r="O73" s="2">
        <f>IF(tblInventory[[#This Row],[Price Band]]="Low",1,
IF(tblInventory[[#This Row],[Price Band]]="Medium",2,3))</f>
        <v>1</v>
      </c>
    </row>
    <row r="74" spans="1:15" x14ac:dyDescent="0.3">
      <c r="A74" t="s">
        <v>82</v>
      </c>
      <c r="B74" t="s">
        <v>182</v>
      </c>
      <c r="C74" t="s">
        <v>241</v>
      </c>
      <c r="D74">
        <v>685</v>
      </c>
      <c r="E74" t="s">
        <v>242</v>
      </c>
      <c r="F74">
        <v>747</v>
      </c>
      <c r="G74">
        <v>7695934105636</v>
      </c>
      <c r="H74" t="s">
        <v>269</v>
      </c>
      <c r="I74" t="s">
        <v>320</v>
      </c>
      <c r="J74" t="s">
        <v>333</v>
      </c>
      <c r="K74" t="s">
        <v>338</v>
      </c>
      <c r="L74">
        <f>tblInventory[[#This Row],[Price]] * tblInventory[[#This Row],[Stock]]</f>
        <v>511695</v>
      </c>
      <c r="M74" t="str">
        <f>IF(tblInventory[[#This Row],[Stock]]&lt;100,"Low","OK")</f>
        <v>OK</v>
      </c>
      <c r="N74" t="str">
        <f>IF(tblInventory[[#This Row],[Availability]]="In Stock","Available",
IF(tblInventory[[#This Row],[Availability]]="Pre-Order","Upcoming","Inactive"))</f>
        <v>Available</v>
      </c>
      <c r="O74" s="2">
        <f>IF(tblInventory[[#This Row],[Price Band]]="Low",1,
IF(tblInventory[[#This Row],[Price Band]]="Medium",2,3))</f>
        <v>3</v>
      </c>
    </row>
    <row r="75" spans="1:15" x14ac:dyDescent="0.3">
      <c r="A75" t="s">
        <v>83</v>
      </c>
      <c r="B75" t="s">
        <v>183</v>
      </c>
      <c r="C75" t="s">
        <v>239</v>
      </c>
      <c r="D75">
        <v>59</v>
      </c>
      <c r="E75" t="s">
        <v>242</v>
      </c>
      <c r="F75">
        <v>169</v>
      </c>
      <c r="G75">
        <v>1089969929675</v>
      </c>
      <c r="H75" t="s">
        <v>257</v>
      </c>
      <c r="I75" t="s">
        <v>315</v>
      </c>
      <c r="J75" t="s">
        <v>336</v>
      </c>
      <c r="K75" t="s">
        <v>339</v>
      </c>
      <c r="L75">
        <f>tblInventory[[#This Row],[Price]] * tblInventory[[#This Row],[Stock]]</f>
        <v>9971</v>
      </c>
      <c r="M75" t="str">
        <f>IF(tblInventory[[#This Row],[Stock]]&lt;100,"Low","OK")</f>
        <v>OK</v>
      </c>
      <c r="N75" t="str">
        <f>IF(tblInventory[[#This Row],[Availability]]="In Stock","Available",
IF(tblInventory[[#This Row],[Availability]]="Pre-Order","Upcoming","Inactive"))</f>
        <v>Inactive</v>
      </c>
      <c r="O75" s="2">
        <f>IF(tblInventory[[#This Row],[Price Band]]="Low",1,
IF(tblInventory[[#This Row],[Price Band]]="Medium",2,3))</f>
        <v>1</v>
      </c>
    </row>
    <row r="76" spans="1:15" x14ac:dyDescent="0.3">
      <c r="A76" t="s">
        <v>84</v>
      </c>
      <c r="B76" t="s">
        <v>184</v>
      </c>
      <c r="C76" t="s">
        <v>233</v>
      </c>
      <c r="D76">
        <v>630</v>
      </c>
      <c r="E76" t="s">
        <v>242</v>
      </c>
      <c r="F76">
        <v>438</v>
      </c>
      <c r="G76">
        <v>310774792552</v>
      </c>
      <c r="H76" t="s">
        <v>305</v>
      </c>
      <c r="I76" t="s">
        <v>316</v>
      </c>
      <c r="J76" t="s">
        <v>337</v>
      </c>
      <c r="K76" t="s">
        <v>338</v>
      </c>
      <c r="L76">
        <f>tblInventory[[#This Row],[Price]] * tblInventory[[#This Row],[Stock]]</f>
        <v>275940</v>
      </c>
      <c r="M76" t="str">
        <f>IF(tblInventory[[#This Row],[Stock]]&lt;100,"Low","OK")</f>
        <v>OK</v>
      </c>
      <c r="N76" t="str">
        <f>IF(tblInventory[[#This Row],[Availability]]="In Stock","Available",
IF(tblInventory[[#This Row],[Availability]]="Pre-Order","Upcoming","Inactive"))</f>
        <v>Inactive</v>
      </c>
      <c r="O76" s="2">
        <f>IF(tblInventory[[#This Row],[Price Band]]="Low",1,
IF(tblInventory[[#This Row],[Price Band]]="Medium",2,3))</f>
        <v>3</v>
      </c>
    </row>
    <row r="77" spans="1:15" x14ac:dyDescent="0.3">
      <c r="A77" t="s">
        <v>85</v>
      </c>
      <c r="B77" t="s">
        <v>185</v>
      </c>
      <c r="C77" t="s">
        <v>220</v>
      </c>
      <c r="D77">
        <v>800</v>
      </c>
      <c r="E77" t="s">
        <v>242</v>
      </c>
      <c r="F77">
        <v>151</v>
      </c>
      <c r="G77">
        <v>1340784358003</v>
      </c>
      <c r="H77" t="s">
        <v>306</v>
      </c>
      <c r="I77" t="s">
        <v>324</v>
      </c>
      <c r="J77" t="s">
        <v>333</v>
      </c>
      <c r="K77" t="s">
        <v>338</v>
      </c>
      <c r="L77">
        <f>tblInventory[[#This Row],[Price]] * tblInventory[[#This Row],[Stock]]</f>
        <v>120800</v>
      </c>
      <c r="M77" t="str">
        <f>IF(tblInventory[[#This Row],[Stock]]&lt;100,"Low","OK")</f>
        <v>OK</v>
      </c>
      <c r="N77" t="str">
        <f>IF(tblInventory[[#This Row],[Availability]]="In Stock","Available",
IF(tblInventory[[#This Row],[Availability]]="Pre-Order","Upcoming","Inactive"))</f>
        <v>Available</v>
      </c>
      <c r="O77" s="2">
        <f>IF(tblInventory[[#This Row],[Price Band]]="Low",1,
IF(tblInventory[[#This Row],[Price Band]]="Medium",2,3))</f>
        <v>3</v>
      </c>
    </row>
    <row r="78" spans="1:15" x14ac:dyDescent="0.3">
      <c r="A78" t="s">
        <v>86</v>
      </c>
      <c r="B78" t="s">
        <v>186</v>
      </c>
      <c r="C78" t="s">
        <v>213</v>
      </c>
      <c r="D78">
        <v>365</v>
      </c>
      <c r="E78" t="s">
        <v>242</v>
      </c>
      <c r="F78">
        <v>71</v>
      </c>
      <c r="G78">
        <v>7806787405877</v>
      </c>
      <c r="H78" t="s">
        <v>298</v>
      </c>
      <c r="I78" t="s">
        <v>322</v>
      </c>
      <c r="J78" t="s">
        <v>332</v>
      </c>
      <c r="K78" t="s">
        <v>322</v>
      </c>
      <c r="L78">
        <f>tblInventory[[#This Row],[Price]] * tblInventory[[#This Row],[Stock]]</f>
        <v>25915</v>
      </c>
      <c r="M78" t="str">
        <f>IF(tblInventory[[#This Row],[Stock]]&lt;100,"Low","OK")</f>
        <v>Low</v>
      </c>
      <c r="N78" t="str">
        <f>IF(tblInventory[[#This Row],[Availability]]="In Stock","Available",
IF(tblInventory[[#This Row],[Availability]]="Pre-Order","Upcoming","Inactive"))</f>
        <v>Upcoming</v>
      </c>
      <c r="O78" s="2">
        <f>IF(tblInventory[[#This Row],[Price Band]]="Low",1,
IF(tblInventory[[#This Row],[Price Band]]="Medium",2,3))</f>
        <v>2</v>
      </c>
    </row>
    <row r="79" spans="1:15" x14ac:dyDescent="0.3">
      <c r="A79" t="s">
        <v>87</v>
      </c>
      <c r="B79" t="s">
        <v>187</v>
      </c>
      <c r="C79" t="s">
        <v>224</v>
      </c>
      <c r="D79">
        <v>273</v>
      </c>
      <c r="E79" t="s">
        <v>242</v>
      </c>
      <c r="F79">
        <v>623</v>
      </c>
      <c r="G79">
        <v>168419438521</v>
      </c>
      <c r="H79" t="s">
        <v>307</v>
      </c>
      <c r="I79" t="s">
        <v>321</v>
      </c>
      <c r="J79" t="s">
        <v>333</v>
      </c>
      <c r="K79" t="s">
        <v>322</v>
      </c>
      <c r="L79">
        <f>tblInventory[[#This Row],[Price]] * tblInventory[[#This Row],[Stock]]</f>
        <v>170079</v>
      </c>
      <c r="M79" t="str">
        <f>IF(tblInventory[[#This Row],[Stock]]&lt;100,"Low","OK")</f>
        <v>OK</v>
      </c>
      <c r="N79" t="str">
        <f>IF(tblInventory[[#This Row],[Availability]]="In Stock","Available",
IF(tblInventory[[#This Row],[Availability]]="Pre-Order","Upcoming","Inactive"))</f>
        <v>Available</v>
      </c>
      <c r="O79" s="2">
        <f>IF(tblInventory[[#This Row],[Price Band]]="Low",1,
IF(tblInventory[[#This Row],[Price Band]]="Medium",2,3))</f>
        <v>2</v>
      </c>
    </row>
    <row r="80" spans="1:15" x14ac:dyDescent="0.3">
      <c r="A80" t="s">
        <v>88</v>
      </c>
      <c r="B80" t="s">
        <v>188</v>
      </c>
      <c r="C80" t="s">
        <v>241</v>
      </c>
      <c r="D80">
        <v>50</v>
      </c>
      <c r="E80" t="s">
        <v>242</v>
      </c>
      <c r="F80">
        <v>413</v>
      </c>
      <c r="G80">
        <v>445370808496</v>
      </c>
      <c r="H80" t="s">
        <v>308</v>
      </c>
      <c r="I80" t="s">
        <v>318</v>
      </c>
      <c r="J80" t="s">
        <v>332</v>
      </c>
      <c r="K80" t="s">
        <v>339</v>
      </c>
      <c r="L80">
        <f>tblInventory[[#This Row],[Price]] * tblInventory[[#This Row],[Stock]]</f>
        <v>20650</v>
      </c>
      <c r="M80" t="str">
        <f>IF(tblInventory[[#This Row],[Stock]]&lt;100,"Low","OK")</f>
        <v>OK</v>
      </c>
      <c r="N80" t="str">
        <f>IF(tblInventory[[#This Row],[Availability]]="In Stock","Available",
IF(tblInventory[[#This Row],[Availability]]="Pre-Order","Upcoming","Inactive"))</f>
        <v>Upcoming</v>
      </c>
      <c r="O80" s="2">
        <f>IF(tblInventory[[#This Row],[Price Band]]="Low",1,
IF(tblInventory[[#This Row],[Price Band]]="Medium",2,3))</f>
        <v>1</v>
      </c>
    </row>
    <row r="81" spans="1:15" x14ac:dyDescent="0.3">
      <c r="A81" t="s">
        <v>89</v>
      </c>
      <c r="B81" t="s">
        <v>189</v>
      </c>
      <c r="C81" t="s">
        <v>216</v>
      </c>
      <c r="D81">
        <v>748</v>
      </c>
      <c r="E81" t="s">
        <v>242</v>
      </c>
      <c r="F81">
        <v>326</v>
      </c>
      <c r="G81">
        <v>6855062072649</v>
      </c>
      <c r="H81" t="s">
        <v>257</v>
      </c>
      <c r="I81" t="s">
        <v>321</v>
      </c>
      <c r="J81" t="s">
        <v>336</v>
      </c>
      <c r="K81" t="s">
        <v>338</v>
      </c>
      <c r="L81">
        <f>tblInventory[[#This Row],[Price]] * tblInventory[[#This Row],[Stock]]</f>
        <v>243848</v>
      </c>
      <c r="M81" t="str">
        <f>IF(tblInventory[[#This Row],[Stock]]&lt;100,"Low","OK")</f>
        <v>OK</v>
      </c>
      <c r="N81" t="str">
        <f>IF(tblInventory[[#This Row],[Availability]]="In Stock","Available",
IF(tblInventory[[#This Row],[Availability]]="Pre-Order","Upcoming","Inactive"))</f>
        <v>Inactive</v>
      </c>
      <c r="O81" s="2">
        <f>IF(tblInventory[[#This Row],[Price Band]]="Low",1,
IF(tblInventory[[#This Row],[Price Band]]="Medium",2,3))</f>
        <v>3</v>
      </c>
    </row>
    <row r="82" spans="1:15" x14ac:dyDescent="0.3">
      <c r="A82" t="s">
        <v>90</v>
      </c>
      <c r="B82" t="s">
        <v>190</v>
      </c>
      <c r="C82" t="s">
        <v>240</v>
      </c>
      <c r="D82">
        <v>367</v>
      </c>
      <c r="E82" t="s">
        <v>242</v>
      </c>
      <c r="F82">
        <v>19</v>
      </c>
      <c r="G82">
        <v>3868467036959</v>
      </c>
      <c r="H82" t="s">
        <v>309</v>
      </c>
      <c r="I82" t="s">
        <v>316</v>
      </c>
      <c r="J82" t="s">
        <v>333</v>
      </c>
      <c r="K82" t="s">
        <v>322</v>
      </c>
      <c r="L82">
        <f>tblInventory[[#This Row],[Price]] * tblInventory[[#This Row],[Stock]]</f>
        <v>6973</v>
      </c>
      <c r="M82" t="str">
        <f>IF(tblInventory[[#This Row],[Stock]]&lt;100,"Low","OK")</f>
        <v>Low</v>
      </c>
      <c r="N82" t="str">
        <f>IF(tblInventory[[#This Row],[Availability]]="In Stock","Available",
IF(tblInventory[[#This Row],[Availability]]="Pre-Order","Upcoming","Inactive"))</f>
        <v>Available</v>
      </c>
      <c r="O82" s="2">
        <f>IF(tblInventory[[#This Row],[Price Band]]="Low",1,
IF(tblInventory[[#This Row],[Price Band]]="Medium",2,3))</f>
        <v>2</v>
      </c>
    </row>
    <row r="83" spans="1:15" x14ac:dyDescent="0.3">
      <c r="A83" t="s">
        <v>91</v>
      </c>
      <c r="B83" t="s">
        <v>191</v>
      </c>
      <c r="C83" t="s">
        <v>210</v>
      </c>
      <c r="D83">
        <v>352</v>
      </c>
      <c r="E83" t="s">
        <v>242</v>
      </c>
      <c r="F83">
        <v>123</v>
      </c>
      <c r="G83">
        <v>9437200314292</v>
      </c>
      <c r="H83" t="s">
        <v>310</v>
      </c>
      <c r="I83" t="s">
        <v>322</v>
      </c>
      <c r="J83" t="s">
        <v>337</v>
      </c>
      <c r="K83" t="s">
        <v>322</v>
      </c>
      <c r="L83">
        <f>tblInventory[[#This Row],[Price]] * tblInventory[[#This Row],[Stock]]</f>
        <v>43296</v>
      </c>
      <c r="M83" t="str">
        <f>IF(tblInventory[[#This Row],[Stock]]&lt;100,"Low","OK")</f>
        <v>OK</v>
      </c>
      <c r="N83" t="str">
        <f>IF(tblInventory[[#This Row],[Availability]]="In Stock","Available",
IF(tblInventory[[#This Row],[Availability]]="Pre-Order","Upcoming","Inactive"))</f>
        <v>Inactive</v>
      </c>
      <c r="O83" s="2">
        <f>IF(tblInventory[[#This Row],[Price Band]]="Low",1,
IF(tblInventory[[#This Row],[Price Band]]="Medium",2,3))</f>
        <v>2</v>
      </c>
    </row>
    <row r="84" spans="1:15" x14ac:dyDescent="0.3">
      <c r="A84" t="s">
        <v>92</v>
      </c>
      <c r="B84" t="s">
        <v>192</v>
      </c>
      <c r="C84" t="s">
        <v>232</v>
      </c>
      <c r="D84">
        <v>103</v>
      </c>
      <c r="E84" t="s">
        <v>242</v>
      </c>
      <c r="F84">
        <v>208</v>
      </c>
      <c r="G84">
        <v>5328785590239</v>
      </c>
      <c r="H84" t="s">
        <v>289</v>
      </c>
      <c r="I84" t="s">
        <v>323</v>
      </c>
      <c r="J84" t="s">
        <v>337</v>
      </c>
      <c r="K84" t="s">
        <v>339</v>
      </c>
      <c r="L84">
        <f>tblInventory[[#This Row],[Price]] * tblInventory[[#This Row],[Stock]]</f>
        <v>21424</v>
      </c>
      <c r="M84" t="str">
        <f>IF(tblInventory[[#This Row],[Stock]]&lt;100,"Low","OK")</f>
        <v>OK</v>
      </c>
      <c r="N84" t="str">
        <f>IF(tblInventory[[#This Row],[Availability]]="In Stock","Available",
IF(tblInventory[[#This Row],[Availability]]="Pre-Order","Upcoming","Inactive"))</f>
        <v>Inactive</v>
      </c>
      <c r="O84" s="2">
        <f>IF(tblInventory[[#This Row],[Price Band]]="Low",1,
IF(tblInventory[[#This Row],[Price Band]]="Medium",2,3))</f>
        <v>1</v>
      </c>
    </row>
    <row r="85" spans="1:15" x14ac:dyDescent="0.3">
      <c r="A85" t="s">
        <v>93</v>
      </c>
      <c r="B85" t="s">
        <v>193</v>
      </c>
      <c r="C85" t="s">
        <v>210</v>
      </c>
      <c r="D85">
        <v>423</v>
      </c>
      <c r="E85" t="s">
        <v>242</v>
      </c>
      <c r="F85">
        <v>759</v>
      </c>
      <c r="G85">
        <v>1396411470228</v>
      </c>
      <c r="H85" t="s">
        <v>254</v>
      </c>
      <c r="I85" t="s">
        <v>325</v>
      </c>
      <c r="J85" t="s">
        <v>333</v>
      </c>
      <c r="K85" t="s">
        <v>322</v>
      </c>
      <c r="L85">
        <f>tblInventory[[#This Row],[Price]] * tblInventory[[#This Row],[Stock]]</f>
        <v>321057</v>
      </c>
      <c r="M85" t="str">
        <f>IF(tblInventory[[#This Row],[Stock]]&lt;100,"Low","OK")</f>
        <v>OK</v>
      </c>
      <c r="N85" t="str">
        <f>IF(tblInventory[[#This Row],[Availability]]="In Stock","Available",
IF(tblInventory[[#This Row],[Availability]]="Pre-Order","Upcoming","Inactive"))</f>
        <v>Available</v>
      </c>
      <c r="O85" s="2">
        <f>IF(tblInventory[[#This Row],[Price Band]]="Low",1,
IF(tblInventory[[#This Row],[Price Band]]="Medium",2,3))</f>
        <v>2</v>
      </c>
    </row>
    <row r="86" spans="1:15" x14ac:dyDescent="0.3">
      <c r="A86" t="s">
        <v>94</v>
      </c>
      <c r="B86" t="s">
        <v>194</v>
      </c>
      <c r="C86" t="s">
        <v>234</v>
      </c>
      <c r="D86">
        <v>998</v>
      </c>
      <c r="E86" t="s">
        <v>242</v>
      </c>
      <c r="F86">
        <v>10</v>
      </c>
      <c r="G86">
        <v>3163238295239</v>
      </c>
      <c r="H86" t="s">
        <v>261</v>
      </c>
      <c r="I86" t="s">
        <v>329</v>
      </c>
      <c r="J86" t="s">
        <v>335</v>
      </c>
      <c r="K86" t="s">
        <v>338</v>
      </c>
      <c r="L86">
        <f>tblInventory[[#This Row],[Price]] * tblInventory[[#This Row],[Stock]]</f>
        <v>9980</v>
      </c>
      <c r="M86" t="str">
        <f>IF(tblInventory[[#This Row],[Stock]]&lt;100,"Low","OK")</f>
        <v>Low</v>
      </c>
      <c r="N86" t="str">
        <f>IF(tblInventory[[#This Row],[Availability]]="In Stock","Available",
IF(tblInventory[[#This Row],[Availability]]="Pre-Order","Upcoming","Inactive"))</f>
        <v>Inactive</v>
      </c>
      <c r="O86" s="2">
        <f>IF(tblInventory[[#This Row],[Price Band]]="Low",1,
IF(tblInventory[[#This Row],[Price Band]]="Medium",2,3))</f>
        <v>3</v>
      </c>
    </row>
    <row r="87" spans="1:15" x14ac:dyDescent="0.3">
      <c r="A87" t="s">
        <v>95</v>
      </c>
      <c r="B87" t="s">
        <v>195</v>
      </c>
      <c r="C87" t="s">
        <v>223</v>
      </c>
      <c r="D87">
        <v>342</v>
      </c>
      <c r="E87" t="s">
        <v>242</v>
      </c>
      <c r="F87">
        <v>221</v>
      </c>
      <c r="G87">
        <v>4862330962177</v>
      </c>
      <c r="H87" t="s">
        <v>299</v>
      </c>
      <c r="I87" t="s">
        <v>321</v>
      </c>
      <c r="J87" t="s">
        <v>332</v>
      </c>
      <c r="K87" t="s">
        <v>322</v>
      </c>
      <c r="L87">
        <f>tblInventory[[#This Row],[Price]] * tblInventory[[#This Row],[Stock]]</f>
        <v>75582</v>
      </c>
      <c r="M87" t="str">
        <f>IF(tblInventory[[#This Row],[Stock]]&lt;100,"Low","OK")</f>
        <v>OK</v>
      </c>
      <c r="N87" t="str">
        <f>IF(tblInventory[[#This Row],[Availability]]="In Stock","Available",
IF(tblInventory[[#This Row],[Availability]]="Pre-Order","Upcoming","Inactive"))</f>
        <v>Upcoming</v>
      </c>
      <c r="O87" s="2">
        <f>IF(tblInventory[[#This Row],[Price Band]]="Low",1,
IF(tblInventory[[#This Row],[Price Band]]="Medium",2,3))</f>
        <v>2</v>
      </c>
    </row>
    <row r="88" spans="1:15" x14ac:dyDescent="0.3">
      <c r="A88" t="s">
        <v>96</v>
      </c>
      <c r="B88" t="s">
        <v>196</v>
      </c>
      <c r="C88" t="s">
        <v>229</v>
      </c>
      <c r="D88">
        <v>593</v>
      </c>
      <c r="E88" t="s">
        <v>242</v>
      </c>
      <c r="F88">
        <v>580</v>
      </c>
      <c r="G88">
        <v>1710131812265</v>
      </c>
      <c r="H88" t="s">
        <v>311</v>
      </c>
      <c r="I88" t="s">
        <v>324</v>
      </c>
      <c r="J88" t="s">
        <v>334</v>
      </c>
      <c r="K88" t="s">
        <v>338</v>
      </c>
      <c r="L88">
        <f>tblInventory[[#This Row],[Price]] * tblInventory[[#This Row],[Stock]]</f>
        <v>343940</v>
      </c>
      <c r="M88" t="str">
        <f>IF(tblInventory[[#This Row],[Stock]]&lt;100,"Low","OK")</f>
        <v>OK</v>
      </c>
      <c r="N88" t="str">
        <f>IF(tblInventory[[#This Row],[Availability]]="In Stock","Available",
IF(tblInventory[[#This Row],[Availability]]="Pre-Order","Upcoming","Inactive"))</f>
        <v>Inactive</v>
      </c>
      <c r="O88" s="2">
        <f>IF(tblInventory[[#This Row],[Price Band]]="Low",1,
IF(tblInventory[[#This Row],[Price Band]]="Medium",2,3))</f>
        <v>3</v>
      </c>
    </row>
    <row r="89" spans="1:15" x14ac:dyDescent="0.3">
      <c r="A89" t="s">
        <v>97</v>
      </c>
      <c r="B89" t="s">
        <v>197</v>
      </c>
      <c r="C89" t="s">
        <v>218</v>
      </c>
      <c r="D89">
        <v>30</v>
      </c>
      <c r="E89" t="s">
        <v>242</v>
      </c>
      <c r="F89">
        <v>728</v>
      </c>
      <c r="G89">
        <v>1287056757693</v>
      </c>
      <c r="H89" t="s">
        <v>253</v>
      </c>
      <c r="I89" t="s">
        <v>327</v>
      </c>
      <c r="J89" t="s">
        <v>332</v>
      </c>
      <c r="K89" t="s">
        <v>339</v>
      </c>
      <c r="L89">
        <f>tblInventory[[#This Row],[Price]] * tblInventory[[#This Row],[Stock]]</f>
        <v>21840</v>
      </c>
      <c r="M89" t="str">
        <f>IF(tblInventory[[#This Row],[Stock]]&lt;100,"Low","OK")</f>
        <v>OK</v>
      </c>
      <c r="N89" t="str">
        <f>IF(tblInventory[[#This Row],[Availability]]="In Stock","Available",
IF(tblInventory[[#This Row],[Availability]]="Pre-Order","Upcoming","Inactive"))</f>
        <v>Upcoming</v>
      </c>
      <c r="O89" s="2">
        <f>IF(tblInventory[[#This Row],[Price Band]]="Low",1,
IF(tblInventory[[#This Row],[Price Band]]="Medium",2,3))</f>
        <v>1</v>
      </c>
    </row>
    <row r="90" spans="1:15" x14ac:dyDescent="0.3">
      <c r="A90" t="s">
        <v>98</v>
      </c>
      <c r="B90" t="s">
        <v>198</v>
      </c>
      <c r="C90" t="s">
        <v>228</v>
      </c>
      <c r="D90">
        <v>307</v>
      </c>
      <c r="E90" t="s">
        <v>242</v>
      </c>
      <c r="F90">
        <v>320</v>
      </c>
      <c r="G90">
        <v>4874329354658</v>
      </c>
      <c r="H90" t="s">
        <v>268</v>
      </c>
      <c r="I90" t="s">
        <v>318</v>
      </c>
      <c r="J90" t="s">
        <v>335</v>
      </c>
      <c r="K90" t="s">
        <v>322</v>
      </c>
      <c r="L90">
        <f>tblInventory[[#This Row],[Price]] * tblInventory[[#This Row],[Stock]]</f>
        <v>98240</v>
      </c>
      <c r="M90" t="str">
        <f>IF(tblInventory[[#This Row],[Stock]]&lt;100,"Low","OK")</f>
        <v>OK</v>
      </c>
      <c r="N90" t="str">
        <f>IF(tblInventory[[#This Row],[Availability]]="In Stock","Available",
IF(tblInventory[[#This Row],[Availability]]="Pre-Order","Upcoming","Inactive"))</f>
        <v>Inactive</v>
      </c>
      <c r="O90" s="2">
        <f>IF(tblInventory[[#This Row],[Price Band]]="Low",1,
IF(tblInventory[[#This Row],[Price Band]]="Medium",2,3))</f>
        <v>2</v>
      </c>
    </row>
    <row r="91" spans="1:15" x14ac:dyDescent="0.3">
      <c r="A91" t="s">
        <v>99</v>
      </c>
      <c r="B91" t="s">
        <v>199</v>
      </c>
      <c r="C91" t="s">
        <v>215</v>
      </c>
      <c r="D91">
        <v>541</v>
      </c>
      <c r="E91" t="s">
        <v>242</v>
      </c>
      <c r="F91">
        <v>488</v>
      </c>
      <c r="G91">
        <v>4147810179628</v>
      </c>
      <c r="H91" t="s">
        <v>297</v>
      </c>
      <c r="I91" t="s">
        <v>328</v>
      </c>
      <c r="J91" t="s">
        <v>332</v>
      </c>
      <c r="K91" t="s">
        <v>338</v>
      </c>
      <c r="L91">
        <f>tblInventory[[#This Row],[Price]] * tblInventory[[#This Row],[Stock]]</f>
        <v>264008</v>
      </c>
      <c r="M91" t="str">
        <f>IF(tblInventory[[#This Row],[Stock]]&lt;100,"Low","OK")</f>
        <v>OK</v>
      </c>
      <c r="N91" t="str">
        <f>IF(tblInventory[[#This Row],[Availability]]="In Stock","Available",
IF(tblInventory[[#This Row],[Availability]]="Pre-Order","Upcoming","Inactive"))</f>
        <v>Upcoming</v>
      </c>
      <c r="O91" s="2">
        <f>IF(tblInventory[[#This Row],[Price Band]]="Low",1,
IF(tblInventory[[#This Row],[Price Band]]="Medium",2,3))</f>
        <v>3</v>
      </c>
    </row>
    <row r="92" spans="1:15" x14ac:dyDescent="0.3">
      <c r="A92" t="s">
        <v>100</v>
      </c>
      <c r="B92" t="s">
        <v>200</v>
      </c>
      <c r="C92" t="s">
        <v>212</v>
      </c>
      <c r="D92">
        <v>405</v>
      </c>
      <c r="E92" t="s">
        <v>242</v>
      </c>
      <c r="F92">
        <v>950</v>
      </c>
      <c r="G92">
        <v>524638185</v>
      </c>
      <c r="H92" t="s">
        <v>245</v>
      </c>
      <c r="I92" t="s">
        <v>316</v>
      </c>
      <c r="J92" t="s">
        <v>333</v>
      </c>
      <c r="K92" t="s">
        <v>322</v>
      </c>
      <c r="L92">
        <f>tblInventory[[#This Row],[Price]] * tblInventory[[#This Row],[Stock]]</f>
        <v>384750</v>
      </c>
      <c r="M92" t="str">
        <f>IF(tblInventory[[#This Row],[Stock]]&lt;100,"Low","OK")</f>
        <v>OK</v>
      </c>
      <c r="N92" t="str">
        <f>IF(tblInventory[[#This Row],[Availability]]="In Stock","Available",
IF(tblInventory[[#This Row],[Availability]]="Pre-Order","Upcoming","Inactive"))</f>
        <v>Available</v>
      </c>
      <c r="O92" s="2">
        <f>IF(tblInventory[[#This Row],[Price Band]]="Low",1,
IF(tblInventory[[#This Row],[Price Band]]="Medium",2,3))</f>
        <v>2</v>
      </c>
    </row>
    <row r="93" spans="1:15" x14ac:dyDescent="0.3">
      <c r="A93" t="s">
        <v>101</v>
      </c>
      <c r="B93" t="s">
        <v>201</v>
      </c>
      <c r="C93" t="s">
        <v>236</v>
      </c>
      <c r="D93">
        <v>519</v>
      </c>
      <c r="E93" t="s">
        <v>242</v>
      </c>
      <c r="F93">
        <v>495</v>
      </c>
      <c r="G93">
        <v>4564280934296</v>
      </c>
      <c r="H93" t="s">
        <v>312</v>
      </c>
      <c r="I93" t="s">
        <v>315</v>
      </c>
      <c r="J93" t="s">
        <v>333</v>
      </c>
      <c r="K93" t="s">
        <v>338</v>
      </c>
      <c r="L93">
        <f>tblInventory[[#This Row],[Price]] * tblInventory[[#This Row],[Stock]]</f>
        <v>256905</v>
      </c>
      <c r="M93" t="str">
        <f>IF(tblInventory[[#This Row],[Stock]]&lt;100,"Low","OK")</f>
        <v>OK</v>
      </c>
      <c r="N93" t="str">
        <f>IF(tblInventory[[#This Row],[Availability]]="In Stock","Available",
IF(tblInventory[[#This Row],[Availability]]="Pre-Order","Upcoming","Inactive"))</f>
        <v>Available</v>
      </c>
      <c r="O93" s="2">
        <f>IF(tblInventory[[#This Row],[Price Band]]="Low",1,
IF(tblInventory[[#This Row],[Price Band]]="Medium",2,3))</f>
        <v>3</v>
      </c>
    </row>
    <row r="94" spans="1:15" x14ac:dyDescent="0.3">
      <c r="A94" t="s">
        <v>102</v>
      </c>
      <c r="B94" t="s">
        <v>202</v>
      </c>
      <c r="C94" t="s">
        <v>227</v>
      </c>
      <c r="D94">
        <v>393</v>
      </c>
      <c r="E94" t="s">
        <v>242</v>
      </c>
      <c r="F94">
        <v>499</v>
      </c>
      <c r="G94">
        <v>1861389468671</v>
      </c>
      <c r="H94" t="s">
        <v>244</v>
      </c>
      <c r="I94" t="s">
        <v>330</v>
      </c>
      <c r="J94" t="s">
        <v>333</v>
      </c>
      <c r="K94" t="s">
        <v>322</v>
      </c>
      <c r="L94">
        <f>tblInventory[[#This Row],[Price]] * tblInventory[[#This Row],[Stock]]</f>
        <v>196107</v>
      </c>
      <c r="M94" t="str">
        <f>IF(tblInventory[[#This Row],[Stock]]&lt;100,"Low","OK")</f>
        <v>OK</v>
      </c>
      <c r="N94" t="str">
        <f>IF(tblInventory[[#This Row],[Availability]]="In Stock","Available",
IF(tblInventory[[#This Row],[Availability]]="Pre-Order","Upcoming","Inactive"))</f>
        <v>Available</v>
      </c>
      <c r="O94" s="2">
        <f>IF(tblInventory[[#This Row],[Price Band]]="Low",1,
IF(tblInventory[[#This Row],[Price Band]]="Medium",2,3))</f>
        <v>2</v>
      </c>
    </row>
    <row r="95" spans="1:15" x14ac:dyDescent="0.3">
      <c r="A95" t="s">
        <v>103</v>
      </c>
      <c r="B95" t="s">
        <v>203</v>
      </c>
      <c r="C95" t="s">
        <v>219</v>
      </c>
      <c r="D95">
        <v>472</v>
      </c>
      <c r="E95" t="s">
        <v>242</v>
      </c>
      <c r="F95">
        <v>63</v>
      </c>
      <c r="G95">
        <v>7794860625802</v>
      </c>
      <c r="H95" t="s">
        <v>243</v>
      </c>
      <c r="I95" t="s">
        <v>331</v>
      </c>
      <c r="J95" t="s">
        <v>337</v>
      </c>
      <c r="K95" t="s">
        <v>322</v>
      </c>
      <c r="L95">
        <f>tblInventory[[#This Row],[Price]] * tblInventory[[#This Row],[Stock]]</f>
        <v>29736</v>
      </c>
      <c r="M95" t="str">
        <f>IF(tblInventory[[#This Row],[Stock]]&lt;100,"Low","OK")</f>
        <v>Low</v>
      </c>
      <c r="N95" t="str">
        <f>IF(tblInventory[[#This Row],[Availability]]="In Stock","Available",
IF(tblInventory[[#This Row],[Availability]]="Pre-Order","Upcoming","Inactive"))</f>
        <v>Inactive</v>
      </c>
      <c r="O95" s="2">
        <f>IF(tblInventory[[#This Row],[Price Band]]="Low",1,
IF(tblInventory[[#This Row],[Price Band]]="Medium",2,3))</f>
        <v>2</v>
      </c>
    </row>
    <row r="96" spans="1:15" x14ac:dyDescent="0.3">
      <c r="A96" t="s">
        <v>104</v>
      </c>
      <c r="B96" t="s">
        <v>204</v>
      </c>
      <c r="C96" t="s">
        <v>230</v>
      </c>
      <c r="D96">
        <v>382</v>
      </c>
      <c r="E96" t="s">
        <v>242</v>
      </c>
      <c r="F96">
        <v>639</v>
      </c>
      <c r="G96">
        <v>3611080124547</v>
      </c>
      <c r="H96" t="s">
        <v>313</v>
      </c>
      <c r="I96" t="s">
        <v>331</v>
      </c>
      <c r="J96" t="s">
        <v>332</v>
      </c>
      <c r="K96" t="s">
        <v>322</v>
      </c>
      <c r="L96">
        <f>tblInventory[[#This Row],[Price]] * tblInventory[[#This Row],[Stock]]</f>
        <v>244098</v>
      </c>
      <c r="M96" t="str">
        <f>IF(tblInventory[[#This Row],[Stock]]&lt;100,"Low","OK")</f>
        <v>OK</v>
      </c>
      <c r="N96" t="str">
        <f>IF(tblInventory[[#This Row],[Availability]]="In Stock","Available",
IF(tblInventory[[#This Row],[Availability]]="Pre-Order","Upcoming","Inactive"))</f>
        <v>Upcoming</v>
      </c>
      <c r="O96" s="2">
        <f>IF(tblInventory[[#This Row],[Price Band]]="Low",1,
IF(tblInventory[[#This Row],[Price Band]]="Medium",2,3))</f>
        <v>2</v>
      </c>
    </row>
    <row r="97" spans="1:15" x14ac:dyDescent="0.3">
      <c r="A97" t="s">
        <v>105</v>
      </c>
      <c r="B97" t="s">
        <v>205</v>
      </c>
      <c r="C97" t="s">
        <v>215</v>
      </c>
      <c r="D97">
        <v>375</v>
      </c>
      <c r="E97" t="s">
        <v>242</v>
      </c>
      <c r="F97">
        <v>703</v>
      </c>
      <c r="G97">
        <v>3330396409604</v>
      </c>
      <c r="H97" t="s">
        <v>256</v>
      </c>
      <c r="I97" t="s">
        <v>316</v>
      </c>
      <c r="J97" t="s">
        <v>335</v>
      </c>
      <c r="K97" t="s">
        <v>322</v>
      </c>
      <c r="L97">
        <f>tblInventory[[#This Row],[Price]] * tblInventory[[#This Row],[Stock]]</f>
        <v>263625</v>
      </c>
      <c r="M97" t="str">
        <f>IF(tblInventory[[#This Row],[Stock]]&lt;100,"Low","OK")</f>
        <v>OK</v>
      </c>
      <c r="N97" t="str">
        <f>IF(tblInventory[[#This Row],[Availability]]="In Stock","Available",
IF(tblInventory[[#This Row],[Availability]]="Pre-Order","Upcoming","Inactive"))</f>
        <v>Inactive</v>
      </c>
      <c r="O97" s="2">
        <f>IF(tblInventory[[#This Row],[Price Band]]="Low",1,
IF(tblInventory[[#This Row],[Price Band]]="Medium",2,3))</f>
        <v>2</v>
      </c>
    </row>
    <row r="98" spans="1:15" x14ac:dyDescent="0.3">
      <c r="A98" t="s">
        <v>106</v>
      </c>
      <c r="B98" t="s">
        <v>206</v>
      </c>
      <c r="C98" t="s">
        <v>235</v>
      </c>
      <c r="D98">
        <v>289</v>
      </c>
      <c r="E98" t="s">
        <v>242</v>
      </c>
      <c r="F98">
        <v>727</v>
      </c>
      <c r="G98">
        <v>9265397743935</v>
      </c>
      <c r="H98" t="s">
        <v>277</v>
      </c>
      <c r="I98" t="s">
        <v>323</v>
      </c>
      <c r="J98" t="s">
        <v>337</v>
      </c>
      <c r="K98" t="s">
        <v>322</v>
      </c>
      <c r="L98">
        <f>tblInventory[[#This Row],[Price]] * tblInventory[[#This Row],[Stock]]</f>
        <v>210103</v>
      </c>
      <c r="M98" t="str">
        <f>IF(tblInventory[[#This Row],[Stock]]&lt;100,"Low","OK")</f>
        <v>OK</v>
      </c>
      <c r="N98" t="str">
        <f>IF(tblInventory[[#This Row],[Availability]]="In Stock","Available",
IF(tblInventory[[#This Row],[Availability]]="Pre-Order","Upcoming","Inactive"))</f>
        <v>Inactive</v>
      </c>
      <c r="O98" s="2">
        <f>IF(tblInventory[[#This Row],[Price Band]]="Low",1,
IF(tblInventory[[#This Row],[Price Band]]="Medium",2,3))</f>
        <v>2</v>
      </c>
    </row>
    <row r="99" spans="1:15" x14ac:dyDescent="0.3">
      <c r="A99" t="s">
        <v>107</v>
      </c>
      <c r="B99" t="s">
        <v>207</v>
      </c>
      <c r="C99" t="s">
        <v>219</v>
      </c>
      <c r="D99">
        <v>232</v>
      </c>
      <c r="E99" t="s">
        <v>242</v>
      </c>
      <c r="F99">
        <v>998</v>
      </c>
      <c r="G99">
        <v>5505866454530</v>
      </c>
      <c r="H99" t="s">
        <v>314</v>
      </c>
      <c r="I99" t="s">
        <v>330</v>
      </c>
      <c r="J99" t="s">
        <v>335</v>
      </c>
      <c r="K99" t="s">
        <v>322</v>
      </c>
      <c r="L99">
        <f>tblInventory[[#This Row],[Price]] * tblInventory[[#This Row],[Stock]]</f>
        <v>231536</v>
      </c>
      <c r="M99" t="str">
        <f>IF(tblInventory[[#This Row],[Stock]]&lt;100,"Low","OK")</f>
        <v>OK</v>
      </c>
      <c r="N99" t="str">
        <f>IF(tblInventory[[#This Row],[Availability]]="In Stock","Available",
IF(tblInventory[[#This Row],[Availability]]="Pre-Order","Upcoming","Inactive"))</f>
        <v>Inactive</v>
      </c>
      <c r="O99" s="2">
        <f>IF(tblInventory[[#This Row],[Price Band]]="Low",1,
IF(tblInventory[[#This Row],[Price Band]]="Medium",2,3))</f>
        <v>2</v>
      </c>
    </row>
    <row r="100" spans="1:15" x14ac:dyDescent="0.3">
      <c r="A100" t="s">
        <v>108</v>
      </c>
      <c r="B100" t="s">
        <v>208</v>
      </c>
      <c r="C100" t="s">
        <v>234</v>
      </c>
      <c r="D100">
        <v>241</v>
      </c>
      <c r="E100" t="s">
        <v>242</v>
      </c>
      <c r="F100">
        <v>391</v>
      </c>
      <c r="G100">
        <v>3893594435450</v>
      </c>
      <c r="H100" t="s">
        <v>313</v>
      </c>
      <c r="I100" t="s">
        <v>325</v>
      </c>
      <c r="J100" t="s">
        <v>335</v>
      </c>
      <c r="K100" t="s">
        <v>322</v>
      </c>
      <c r="L100">
        <f>tblInventory[[#This Row],[Price]] * tblInventory[[#This Row],[Stock]]</f>
        <v>94231</v>
      </c>
      <c r="M100" t="str">
        <f>IF(tblInventory[[#This Row],[Stock]]&lt;100,"Low","OK")</f>
        <v>OK</v>
      </c>
      <c r="N100" t="str">
        <f>IF(tblInventory[[#This Row],[Availability]]="In Stock","Available",
IF(tblInventory[[#This Row],[Availability]]="Pre-Order","Upcoming","Inactive"))</f>
        <v>Inactive</v>
      </c>
      <c r="O100" s="2">
        <f>IF(tblInventory[[#This Row],[Price Band]]="Low",1,
IF(tblInventory[[#This Row],[Price Band]]="Medium",2,3))</f>
        <v>2</v>
      </c>
    </row>
    <row r="101" spans="1:15" x14ac:dyDescent="0.3">
      <c r="A101" t="s">
        <v>109</v>
      </c>
      <c r="B101" t="s">
        <v>209</v>
      </c>
      <c r="C101" t="s">
        <v>224</v>
      </c>
      <c r="D101">
        <v>71</v>
      </c>
      <c r="E101" t="s">
        <v>242</v>
      </c>
      <c r="F101">
        <v>518</v>
      </c>
      <c r="G101">
        <v>8264263605712</v>
      </c>
      <c r="H101" t="s">
        <v>306</v>
      </c>
      <c r="I101" t="s">
        <v>322</v>
      </c>
      <c r="J101" t="s">
        <v>335</v>
      </c>
      <c r="K101" t="s">
        <v>339</v>
      </c>
      <c r="L101">
        <f>tblInventory[[#This Row],[Price]] * tblInventory[[#This Row],[Stock]]</f>
        <v>36778</v>
      </c>
      <c r="M101" t="str">
        <f>IF(tblInventory[[#This Row],[Stock]]&lt;100,"Low","OK")</f>
        <v>OK</v>
      </c>
      <c r="N101" t="str">
        <f>IF(tblInventory[[#This Row],[Availability]]="In Stock","Available",
IF(tblInventory[[#This Row],[Availability]]="Pre-Order","Upcoming","Inactive"))</f>
        <v>Inactive</v>
      </c>
      <c r="O101" s="2">
        <f>IF(tblInventory[[#This Row],[Price Band]]="Low",1,
IF(tblInventory[[#This Row],[Price Band]]="Medium",2,3))</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720E7-5776-4760-A7D9-819929E33343}">
  <dimension ref="A3:F36"/>
  <sheetViews>
    <sheetView workbookViewId="0">
      <selection activeCell="H19" sqref="H19"/>
    </sheetView>
  </sheetViews>
  <sheetFormatPr defaultRowHeight="14.4" x14ac:dyDescent="0.3"/>
  <cols>
    <col min="1" max="1" width="25.6640625" bestFit="1" customWidth="1"/>
    <col min="2" max="2" width="19.33203125" bestFit="1" customWidth="1"/>
    <col min="4" max="4" width="26.6640625" bestFit="1" customWidth="1"/>
    <col min="5" max="5" width="10.33203125" bestFit="1" customWidth="1"/>
    <col min="6" max="6" width="13.33203125" bestFit="1" customWidth="1"/>
  </cols>
  <sheetData>
    <row r="3" spans="1:6" x14ac:dyDescent="0.3">
      <c r="A3" s="3" t="s">
        <v>343</v>
      </c>
      <c r="B3" t="s">
        <v>348</v>
      </c>
      <c r="D3" s="3" t="s">
        <v>343</v>
      </c>
      <c r="E3" t="s">
        <v>347</v>
      </c>
      <c r="F3" t="s">
        <v>346</v>
      </c>
    </row>
    <row r="4" spans="1:6" x14ac:dyDescent="0.3">
      <c r="A4" s="4" t="s">
        <v>238</v>
      </c>
      <c r="B4" s="2">
        <v>139462</v>
      </c>
      <c r="D4" s="4" t="s">
        <v>162</v>
      </c>
      <c r="E4" s="2">
        <v>922</v>
      </c>
      <c r="F4" s="2">
        <v>1</v>
      </c>
    </row>
    <row r="5" spans="1:6" x14ac:dyDescent="0.3">
      <c r="A5" s="4" t="s">
        <v>216</v>
      </c>
      <c r="B5" s="2">
        <v>880948</v>
      </c>
      <c r="D5" s="4" t="s">
        <v>139</v>
      </c>
      <c r="E5" s="2">
        <v>988</v>
      </c>
      <c r="F5" s="2">
        <v>1</v>
      </c>
    </row>
    <row r="6" spans="1:6" x14ac:dyDescent="0.3">
      <c r="A6" s="4" t="s">
        <v>235</v>
      </c>
      <c r="B6" s="2">
        <v>854991</v>
      </c>
      <c r="D6" s="4" t="s">
        <v>113</v>
      </c>
      <c r="E6" s="2">
        <v>896</v>
      </c>
      <c r="F6" s="2">
        <v>1</v>
      </c>
    </row>
    <row r="7" spans="1:6" x14ac:dyDescent="0.3">
      <c r="A7" s="4" t="s">
        <v>224</v>
      </c>
      <c r="B7" s="2">
        <v>1144000</v>
      </c>
      <c r="D7" s="4" t="s">
        <v>200</v>
      </c>
      <c r="E7" s="2">
        <v>950</v>
      </c>
      <c r="F7" s="2">
        <v>1</v>
      </c>
    </row>
    <row r="8" spans="1:6" x14ac:dyDescent="0.3">
      <c r="A8" s="4" t="s">
        <v>210</v>
      </c>
      <c r="B8" s="2">
        <v>821837</v>
      </c>
      <c r="D8" s="4" t="s">
        <v>137</v>
      </c>
      <c r="E8" s="2">
        <v>912</v>
      </c>
      <c r="F8" s="2">
        <v>1</v>
      </c>
    </row>
    <row r="9" spans="1:6" x14ac:dyDescent="0.3">
      <c r="A9" s="4" t="s">
        <v>236</v>
      </c>
      <c r="B9" s="2">
        <v>479275</v>
      </c>
      <c r="D9" s="4" t="s">
        <v>154</v>
      </c>
      <c r="E9" s="2">
        <v>966</v>
      </c>
      <c r="F9" s="2">
        <v>1</v>
      </c>
    </row>
    <row r="10" spans="1:6" x14ac:dyDescent="0.3">
      <c r="A10" s="4" t="s">
        <v>234</v>
      </c>
      <c r="B10" s="2">
        <v>261748</v>
      </c>
      <c r="D10" s="4" t="s">
        <v>114</v>
      </c>
      <c r="E10" s="2">
        <v>925</v>
      </c>
      <c r="F10" s="2">
        <v>1</v>
      </c>
    </row>
    <row r="11" spans="1:6" x14ac:dyDescent="0.3">
      <c r="A11" s="4" t="s">
        <v>219</v>
      </c>
      <c r="B11" s="2">
        <v>1425491</v>
      </c>
      <c r="D11" s="4" t="s">
        <v>148</v>
      </c>
      <c r="E11" s="2">
        <v>947</v>
      </c>
      <c r="F11" s="2">
        <v>1</v>
      </c>
    </row>
    <row r="12" spans="1:6" x14ac:dyDescent="0.3">
      <c r="A12" s="4" t="s">
        <v>226</v>
      </c>
      <c r="B12" s="2">
        <v>782496</v>
      </c>
      <c r="D12" s="4" t="s">
        <v>170</v>
      </c>
      <c r="E12" s="2">
        <v>973</v>
      </c>
      <c r="F12" s="2">
        <v>1</v>
      </c>
    </row>
    <row r="13" spans="1:6" x14ac:dyDescent="0.3">
      <c r="A13" s="4" t="s">
        <v>220</v>
      </c>
      <c r="B13" s="2">
        <v>952757</v>
      </c>
      <c r="D13" s="4" t="s">
        <v>207</v>
      </c>
      <c r="E13" s="2">
        <v>998</v>
      </c>
      <c r="F13" s="2">
        <v>1</v>
      </c>
    </row>
    <row r="14" spans="1:6" x14ac:dyDescent="0.3">
      <c r="A14" s="4" t="s">
        <v>231</v>
      </c>
      <c r="B14" s="2">
        <v>80200</v>
      </c>
      <c r="D14" s="4" t="s">
        <v>344</v>
      </c>
      <c r="E14" s="2">
        <v>9477</v>
      </c>
      <c r="F14" s="2">
        <v>10</v>
      </c>
    </row>
    <row r="15" spans="1:6" x14ac:dyDescent="0.3">
      <c r="A15" s="4" t="s">
        <v>217</v>
      </c>
      <c r="B15" s="2">
        <v>1594452</v>
      </c>
    </row>
    <row r="16" spans="1:6" x14ac:dyDescent="0.3">
      <c r="A16" s="4" t="s">
        <v>229</v>
      </c>
      <c r="B16" s="2">
        <v>1002545</v>
      </c>
    </row>
    <row r="17" spans="1:2" x14ac:dyDescent="0.3">
      <c r="A17" s="4" t="s">
        <v>227</v>
      </c>
      <c r="B17" s="2">
        <v>373407</v>
      </c>
    </row>
    <row r="18" spans="1:2" x14ac:dyDescent="0.3">
      <c r="A18" s="4" t="s">
        <v>225</v>
      </c>
      <c r="B18" s="2">
        <v>814047</v>
      </c>
    </row>
    <row r="19" spans="1:2" x14ac:dyDescent="0.3">
      <c r="A19" s="4" t="s">
        <v>230</v>
      </c>
      <c r="B19" s="2">
        <v>1460008</v>
      </c>
    </row>
    <row r="20" spans="1:2" x14ac:dyDescent="0.3">
      <c r="A20" s="4" t="s">
        <v>218</v>
      </c>
      <c r="B20" s="2">
        <v>857113</v>
      </c>
    </row>
    <row r="21" spans="1:2" x14ac:dyDescent="0.3">
      <c r="A21" s="4" t="s">
        <v>241</v>
      </c>
      <c r="B21" s="2">
        <v>532345</v>
      </c>
    </row>
    <row r="22" spans="1:2" x14ac:dyDescent="0.3">
      <c r="A22" s="4" t="s">
        <v>233</v>
      </c>
      <c r="B22" s="2">
        <v>327365</v>
      </c>
    </row>
    <row r="23" spans="1:2" x14ac:dyDescent="0.3">
      <c r="A23" s="4" t="s">
        <v>213</v>
      </c>
      <c r="B23" s="2">
        <v>1211123</v>
      </c>
    </row>
    <row r="24" spans="1:2" x14ac:dyDescent="0.3">
      <c r="A24" s="4" t="s">
        <v>212</v>
      </c>
      <c r="B24" s="2">
        <v>657968</v>
      </c>
    </row>
    <row r="25" spans="1:2" x14ac:dyDescent="0.3">
      <c r="A25" s="4" t="s">
        <v>215</v>
      </c>
      <c r="B25" s="2">
        <v>586793</v>
      </c>
    </row>
    <row r="26" spans="1:2" x14ac:dyDescent="0.3">
      <c r="A26" s="4" t="s">
        <v>240</v>
      </c>
      <c r="B26" s="2">
        <v>103173</v>
      </c>
    </row>
    <row r="27" spans="1:2" x14ac:dyDescent="0.3">
      <c r="A27" s="4" t="s">
        <v>237</v>
      </c>
      <c r="B27" s="2">
        <v>634967</v>
      </c>
    </row>
    <row r="28" spans="1:2" x14ac:dyDescent="0.3">
      <c r="A28" s="4" t="s">
        <v>232</v>
      </c>
      <c r="B28" s="2">
        <v>1433073</v>
      </c>
    </row>
    <row r="29" spans="1:2" x14ac:dyDescent="0.3">
      <c r="A29" s="4" t="s">
        <v>211</v>
      </c>
      <c r="B29" s="2">
        <v>215382</v>
      </c>
    </row>
    <row r="30" spans="1:2" x14ac:dyDescent="0.3">
      <c r="A30" s="4" t="s">
        <v>214</v>
      </c>
      <c r="B30" s="2">
        <v>843548</v>
      </c>
    </row>
    <row r="31" spans="1:2" x14ac:dyDescent="0.3">
      <c r="A31" s="4" t="s">
        <v>222</v>
      </c>
      <c r="B31" s="2">
        <v>1133480</v>
      </c>
    </row>
    <row r="32" spans="1:2" x14ac:dyDescent="0.3">
      <c r="A32" s="4" t="s">
        <v>239</v>
      </c>
      <c r="B32" s="2">
        <v>11206</v>
      </c>
    </row>
    <row r="33" spans="1:2" x14ac:dyDescent="0.3">
      <c r="A33" s="4" t="s">
        <v>228</v>
      </c>
      <c r="B33" s="2">
        <v>906085</v>
      </c>
    </row>
    <row r="34" spans="1:2" x14ac:dyDescent="0.3">
      <c r="A34" s="4" t="s">
        <v>221</v>
      </c>
      <c r="B34" s="2">
        <v>589348</v>
      </c>
    </row>
    <row r="35" spans="1:2" x14ac:dyDescent="0.3">
      <c r="A35" s="4" t="s">
        <v>223</v>
      </c>
      <c r="B35" s="2">
        <v>1341950</v>
      </c>
    </row>
    <row r="36" spans="1:2" x14ac:dyDescent="0.3">
      <c r="A36" s="4" t="s">
        <v>344</v>
      </c>
      <c r="B36" s="2">
        <v>24452583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70A7A-0317-4DC8-AE08-7EB862A07B21}">
  <dimension ref="A3:H37"/>
  <sheetViews>
    <sheetView topLeftCell="A19" workbookViewId="0">
      <selection activeCell="T22" sqref="T22"/>
    </sheetView>
  </sheetViews>
  <sheetFormatPr defaultRowHeight="14.4" x14ac:dyDescent="0.3"/>
  <cols>
    <col min="1" max="1" width="12.5546875" bestFit="1" customWidth="1"/>
    <col min="2" max="2" width="13.88671875" bestFit="1" customWidth="1"/>
    <col min="4" max="4" width="25.6640625" bestFit="1" customWidth="1"/>
    <col min="5" max="5" width="15.5546875" bestFit="1" customWidth="1"/>
    <col min="6" max="6" width="4.44140625" bestFit="1" customWidth="1"/>
    <col min="7" max="7" width="8.109375" bestFit="1" customWidth="1"/>
    <col min="8" max="8" width="10.77734375" bestFit="1" customWidth="1"/>
  </cols>
  <sheetData>
    <row r="3" spans="1:8" x14ac:dyDescent="0.3">
      <c r="A3" s="3" t="s">
        <v>343</v>
      </c>
      <c r="B3" t="s">
        <v>345</v>
      </c>
      <c r="D3" s="3" t="s">
        <v>345</v>
      </c>
      <c r="E3" s="3" t="s">
        <v>352</v>
      </c>
    </row>
    <row r="4" spans="1:8" x14ac:dyDescent="0.3">
      <c r="A4" s="4" t="s">
        <v>349</v>
      </c>
      <c r="B4" s="2">
        <v>20</v>
      </c>
      <c r="D4" s="3" t="s">
        <v>343</v>
      </c>
      <c r="E4" t="s">
        <v>338</v>
      </c>
      <c r="F4" t="s">
        <v>339</v>
      </c>
      <c r="G4" t="s">
        <v>322</v>
      </c>
      <c r="H4" t="s">
        <v>344</v>
      </c>
    </row>
    <row r="5" spans="1:8" x14ac:dyDescent="0.3">
      <c r="A5" s="4" t="s">
        <v>350</v>
      </c>
      <c r="B5" s="2">
        <v>55</v>
      </c>
      <c r="D5" s="4" t="s">
        <v>238</v>
      </c>
      <c r="E5" s="2"/>
      <c r="F5" s="2"/>
      <c r="G5" s="2">
        <v>1</v>
      </c>
      <c r="H5" s="2">
        <v>1</v>
      </c>
    </row>
    <row r="6" spans="1:8" x14ac:dyDescent="0.3">
      <c r="A6" s="4" t="s">
        <v>351</v>
      </c>
      <c r="B6" s="2">
        <v>25</v>
      </c>
      <c r="D6" s="4" t="s">
        <v>216</v>
      </c>
      <c r="E6" s="2">
        <v>2</v>
      </c>
      <c r="F6" s="2">
        <v>2</v>
      </c>
      <c r="G6" s="2">
        <v>2</v>
      </c>
      <c r="H6" s="2">
        <v>6</v>
      </c>
    </row>
    <row r="7" spans="1:8" x14ac:dyDescent="0.3">
      <c r="A7" s="4" t="s">
        <v>344</v>
      </c>
      <c r="B7" s="2">
        <v>100</v>
      </c>
      <c r="D7" s="4" t="s">
        <v>235</v>
      </c>
      <c r="E7" s="2"/>
      <c r="F7" s="2">
        <v>1</v>
      </c>
      <c r="G7" s="2">
        <v>3</v>
      </c>
      <c r="H7" s="2">
        <v>4</v>
      </c>
    </row>
    <row r="8" spans="1:8" x14ac:dyDescent="0.3">
      <c r="D8" s="4" t="s">
        <v>224</v>
      </c>
      <c r="E8" s="2">
        <v>2</v>
      </c>
      <c r="F8" s="2">
        <v>1</v>
      </c>
      <c r="G8" s="2">
        <v>1</v>
      </c>
      <c r="H8" s="2">
        <v>4</v>
      </c>
    </row>
    <row r="9" spans="1:8" x14ac:dyDescent="0.3">
      <c r="D9" s="4" t="s">
        <v>210</v>
      </c>
      <c r="E9" s="2">
        <v>1</v>
      </c>
      <c r="F9" s="2"/>
      <c r="G9" s="2">
        <v>3</v>
      </c>
      <c r="H9" s="2">
        <v>4</v>
      </c>
    </row>
    <row r="10" spans="1:8" x14ac:dyDescent="0.3">
      <c r="D10" s="4" t="s">
        <v>236</v>
      </c>
      <c r="E10" s="2">
        <v>1</v>
      </c>
      <c r="F10" s="2"/>
      <c r="G10" s="2">
        <v>1</v>
      </c>
      <c r="H10" s="2">
        <v>2</v>
      </c>
    </row>
    <row r="11" spans="1:8" x14ac:dyDescent="0.3">
      <c r="D11" s="4" t="s">
        <v>234</v>
      </c>
      <c r="E11" s="2">
        <v>2</v>
      </c>
      <c r="F11" s="2"/>
      <c r="G11" s="2">
        <v>1</v>
      </c>
      <c r="H11" s="2">
        <v>3</v>
      </c>
    </row>
    <row r="12" spans="1:8" x14ac:dyDescent="0.3">
      <c r="D12" s="4" t="s">
        <v>219</v>
      </c>
      <c r="E12" s="2">
        <v>1</v>
      </c>
      <c r="F12" s="2">
        <v>1</v>
      </c>
      <c r="G12" s="2">
        <v>4</v>
      </c>
      <c r="H12" s="2">
        <v>6</v>
      </c>
    </row>
    <row r="13" spans="1:8" x14ac:dyDescent="0.3">
      <c r="D13" s="4" t="s">
        <v>226</v>
      </c>
      <c r="E13" s="2">
        <v>1</v>
      </c>
      <c r="F13" s="2"/>
      <c r="G13" s="2"/>
      <c r="H13" s="2">
        <v>1</v>
      </c>
    </row>
    <row r="14" spans="1:8" x14ac:dyDescent="0.3">
      <c r="D14" s="4" t="s">
        <v>220</v>
      </c>
      <c r="E14" s="2">
        <v>3</v>
      </c>
      <c r="F14" s="2"/>
      <c r="G14" s="2"/>
      <c r="H14" s="2">
        <v>3</v>
      </c>
    </row>
    <row r="15" spans="1:8" x14ac:dyDescent="0.3">
      <c r="D15" s="4" t="s">
        <v>231</v>
      </c>
      <c r="E15" s="2"/>
      <c r="F15" s="2">
        <v>1</v>
      </c>
      <c r="G15" s="2"/>
      <c r="H15" s="2">
        <v>1</v>
      </c>
    </row>
    <row r="16" spans="1:8" x14ac:dyDescent="0.3">
      <c r="D16" s="4" t="s">
        <v>217</v>
      </c>
      <c r="E16" s="2">
        <v>2</v>
      </c>
      <c r="F16" s="2"/>
      <c r="G16" s="2">
        <v>1</v>
      </c>
      <c r="H16" s="2">
        <v>3</v>
      </c>
    </row>
    <row r="17" spans="4:8" x14ac:dyDescent="0.3">
      <c r="D17" s="4" t="s">
        <v>229</v>
      </c>
      <c r="E17" s="2">
        <v>2</v>
      </c>
      <c r="F17" s="2"/>
      <c r="G17" s="2">
        <v>2</v>
      </c>
      <c r="H17" s="2">
        <v>4</v>
      </c>
    </row>
    <row r="18" spans="4:8" x14ac:dyDescent="0.3">
      <c r="D18" s="4" t="s">
        <v>227</v>
      </c>
      <c r="E18" s="2">
        <v>1</v>
      </c>
      <c r="F18" s="2"/>
      <c r="G18" s="2">
        <v>1</v>
      </c>
      <c r="H18" s="2">
        <v>2</v>
      </c>
    </row>
    <row r="19" spans="4:8" x14ac:dyDescent="0.3">
      <c r="D19" s="4" t="s">
        <v>225</v>
      </c>
      <c r="E19" s="2">
        <v>2</v>
      </c>
      <c r="F19" s="2"/>
      <c r="G19" s="2"/>
      <c r="H19" s="2">
        <v>2</v>
      </c>
    </row>
    <row r="20" spans="4:8" x14ac:dyDescent="0.3">
      <c r="D20" s="4" t="s">
        <v>230</v>
      </c>
      <c r="E20" s="2">
        <v>2</v>
      </c>
      <c r="F20" s="2"/>
      <c r="G20" s="2">
        <v>1</v>
      </c>
      <c r="H20" s="2">
        <v>3</v>
      </c>
    </row>
    <row r="21" spans="4:8" x14ac:dyDescent="0.3">
      <c r="D21" s="4" t="s">
        <v>218</v>
      </c>
      <c r="E21" s="2">
        <v>1</v>
      </c>
      <c r="F21" s="2">
        <v>3</v>
      </c>
      <c r="G21" s="2">
        <v>2</v>
      </c>
      <c r="H21" s="2">
        <v>6</v>
      </c>
    </row>
    <row r="22" spans="4:8" x14ac:dyDescent="0.3">
      <c r="D22" s="4" t="s">
        <v>241</v>
      </c>
      <c r="E22" s="2">
        <v>1</v>
      </c>
      <c r="F22" s="2">
        <v>1</v>
      </c>
      <c r="G22" s="2"/>
      <c r="H22" s="2">
        <v>2</v>
      </c>
    </row>
    <row r="23" spans="4:8" x14ac:dyDescent="0.3">
      <c r="D23" s="4" t="s">
        <v>233</v>
      </c>
      <c r="E23" s="2">
        <v>2</v>
      </c>
      <c r="F23" s="2"/>
      <c r="G23" s="2"/>
      <c r="H23" s="2">
        <v>2</v>
      </c>
    </row>
    <row r="24" spans="4:8" x14ac:dyDescent="0.3">
      <c r="D24" s="4" t="s">
        <v>213</v>
      </c>
      <c r="E24" s="2">
        <v>2</v>
      </c>
      <c r="F24" s="2">
        <v>1</v>
      </c>
      <c r="G24" s="2">
        <v>2</v>
      </c>
      <c r="H24" s="2">
        <v>5</v>
      </c>
    </row>
    <row r="25" spans="4:8" x14ac:dyDescent="0.3">
      <c r="D25" s="4" t="s">
        <v>212</v>
      </c>
      <c r="E25" s="2"/>
      <c r="F25" s="2">
        <v>1</v>
      </c>
      <c r="G25" s="2">
        <v>2</v>
      </c>
      <c r="H25" s="2">
        <v>3</v>
      </c>
    </row>
    <row r="26" spans="4:8" x14ac:dyDescent="0.3">
      <c r="D26" s="4" t="s">
        <v>215</v>
      </c>
      <c r="E26" s="2">
        <v>1</v>
      </c>
      <c r="F26" s="2">
        <v>1</v>
      </c>
      <c r="G26" s="2">
        <v>1</v>
      </c>
      <c r="H26" s="2">
        <v>3</v>
      </c>
    </row>
    <row r="27" spans="4:8" x14ac:dyDescent="0.3">
      <c r="D27" s="4" t="s">
        <v>240</v>
      </c>
      <c r="E27" s="2"/>
      <c r="F27" s="2">
        <v>1</v>
      </c>
      <c r="G27" s="2">
        <v>1</v>
      </c>
      <c r="H27" s="2">
        <v>2</v>
      </c>
    </row>
    <row r="28" spans="4:8" x14ac:dyDescent="0.3">
      <c r="D28" s="4" t="s">
        <v>237</v>
      </c>
      <c r="E28" s="2"/>
      <c r="F28" s="2"/>
      <c r="G28" s="2">
        <v>2</v>
      </c>
      <c r="H28" s="2">
        <v>2</v>
      </c>
    </row>
    <row r="29" spans="4:8" x14ac:dyDescent="0.3">
      <c r="D29" s="4" t="s">
        <v>232</v>
      </c>
      <c r="E29" s="2">
        <v>2</v>
      </c>
      <c r="F29" s="2">
        <v>1</v>
      </c>
      <c r="G29" s="2">
        <v>2</v>
      </c>
      <c r="H29" s="2">
        <v>5</v>
      </c>
    </row>
    <row r="30" spans="4:8" x14ac:dyDescent="0.3">
      <c r="D30" s="4" t="s">
        <v>211</v>
      </c>
      <c r="E30" s="2">
        <v>1</v>
      </c>
      <c r="F30" s="2"/>
      <c r="G30" s="2">
        <v>1</v>
      </c>
      <c r="H30" s="2">
        <v>2</v>
      </c>
    </row>
    <row r="31" spans="4:8" x14ac:dyDescent="0.3">
      <c r="D31" s="4" t="s">
        <v>214</v>
      </c>
      <c r="E31" s="2">
        <v>1</v>
      </c>
      <c r="F31" s="2"/>
      <c r="G31" s="2">
        <v>2</v>
      </c>
      <c r="H31" s="2">
        <v>3</v>
      </c>
    </row>
    <row r="32" spans="4:8" x14ac:dyDescent="0.3">
      <c r="D32" s="4" t="s">
        <v>222</v>
      </c>
      <c r="E32" s="2">
        <v>2</v>
      </c>
      <c r="F32" s="2">
        <v>1</v>
      </c>
      <c r="G32" s="2">
        <v>1</v>
      </c>
      <c r="H32" s="2">
        <v>4</v>
      </c>
    </row>
    <row r="33" spans="4:8" x14ac:dyDescent="0.3">
      <c r="D33" s="4" t="s">
        <v>239</v>
      </c>
      <c r="E33" s="2"/>
      <c r="F33" s="2">
        <v>2</v>
      </c>
      <c r="G33" s="2"/>
      <c r="H33" s="2">
        <v>2</v>
      </c>
    </row>
    <row r="34" spans="4:8" x14ac:dyDescent="0.3">
      <c r="D34" s="4" t="s">
        <v>228</v>
      </c>
      <c r="E34" s="2">
        <v>1</v>
      </c>
      <c r="F34" s="2">
        <v>1</v>
      </c>
      <c r="G34" s="2">
        <v>1</v>
      </c>
      <c r="H34" s="2">
        <v>3</v>
      </c>
    </row>
    <row r="35" spans="4:8" x14ac:dyDescent="0.3">
      <c r="D35" s="4" t="s">
        <v>221</v>
      </c>
      <c r="E35" s="2">
        <v>1</v>
      </c>
      <c r="F35" s="2"/>
      <c r="G35" s="2">
        <v>1</v>
      </c>
      <c r="H35" s="2">
        <v>2</v>
      </c>
    </row>
    <row r="36" spans="4:8" x14ac:dyDescent="0.3">
      <c r="D36" s="4" t="s">
        <v>223</v>
      </c>
      <c r="E36" s="2">
        <v>3</v>
      </c>
      <c r="F36" s="2">
        <v>1</v>
      </c>
      <c r="G36" s="2">
        <v>1</v>
      </c>
      <c r="H36" s="2">
        <v>5</v>
      </c>
    </row>
    <row r="37" spans="4:8" x14ac:dyDescent="0.3">
      <c r="D37" s="4" t="s">
        <v>344</v>
      </c>
      <c r="E37" s="2">
        <v>40</v>
      </c>
      <c r="F37" s="2">
        <v>20</v>
      </c>
      <c r="G37" s="2">
        <v>40</v>
      </c>
      <c r="H37" s="2">
        <v>100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A14BC-2A7A-4855-84FB-25EA64FF7D34}">
  <dimension ref="A1:K2"/>
  <sheetViews>
    <sheetView showGridLines="0" tabSelected="1" zoomScale="98" zoomScaleNormal="98" workbookViewId="0">
      <selection activeCell="A65" sqref="A65"/>
    </sheetView>
  </sheetViews>
  <sheetFormatPr defaultRowHeight="14.4" x14ac:dyDescent="0.3"/>
  <cols>
    <col min="1" max="1" width="23.21875" bestFit="1" customWidth="1"/>
    <col min="4" max="4" width="33.77734375" bestFit="1" customWidth="1"/>
    <col min="7" max="7" width="28.6640625" bestFit="1" customWidth="1"/>
    <col min="9" max="9" width="37.109375" bestFit="1" customWidth="1"/>
  </cols>
  <sheetData>
    <row r="1" spans="1:11" ht="25.2" thickBot="1" x14ac:dyDescent="0.45">
      <c r="A1" s="14" t="s">
        <v>354</v>
      </c>
      <c r="B1" s="15"/>
      <c r="D1" s="12" t="s">
        <v>348</v>
      </c>
      <c r="E1" s="13"/>
      <c r="G1" s="8" t="s">
        <v>355</v>
      </c>
      <c r="I1" s="9" t="s">
        <v>356</v>
      </c>
    </row>
    <row r="2" spans="1:11" ht="26.4" thickBot="1" x14ac:dyDescent="0.55000000000000004">
      <c r="A2" s="16">
        <f>COUNTA(tblInventory[Name])</f>
        <v>100</v>
      </c>
      <c r="B2" s="17"/>
      <c r="D2" s="10">
        <f>SUM(tblInventory[Stock Value])</f>
        <v>24452583</v>
      </c>
      <c r="E2" s="11"/>
      <c r="G2" s="7">
        <f>COUNTIF(tblInventory[Low Stock Flag],"*Low*")</f>
        <v>7</v>
      </c>
      <c r="I2" s="6">
        <f>COUNTIF(tblInventory[Availability],"Discontinued")
 / COUNTA(tblInventory[Name])</f>
        <v>0.12</v>
      </c>
      <c r="K2" s="5"/>
    </row>
  </sheetData>
  <mergeCells count="4">
    <mergeCell ref="D2:E2"/>
    <mergeCell ref="D1:E1"/>
    <mergeCell ref="A1:B1"/>
    <mergeCell ref="A2:B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Sheet2</vt:lpstr>
      <vt:lpstr>Sheet3</vt:lpstr>
      <vt:lpstr>Inventory Analytics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sanket Nanavare</cp:lastModifiedBy>
  <dcterms:created xsi:type="dcterms:W3CDTF">2025-12-18T11:16:19Z</dcterms:created>
  <dcterms:modified xsi:type="dcterms:W3CDTF">2025-12-18T17:51:38Z</dcterms:modified>
</cp:coreProperties>
</file>